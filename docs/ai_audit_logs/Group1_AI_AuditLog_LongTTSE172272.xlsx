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ongt\Downloads\"/>
    </mc:Choice>
  </mc:AlternateContent>
  <xr:revisionPtr revIDLastSave="0" documentId="13_ncr:1_{736B71E8-3964-4FC1-9F0B-38F95F337C3C}" xr6:coauthVersionLast="47" xr6:coauthVersionMax="47" xr10:uidLastSave="{00000000-0000-0000-0000-000000000000}"/>
  <bookViews>
    <workbookView xWindow="-108" yWindow="-108" windowWidth="23256" windowHeight="1245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<sst xmlns="http://schemas.openxmlformats.org/spreadsheetml/2006/main" count="240" uniqueCount="215">
  <si>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</si>
  <si>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</si>
  <si>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</si>
  <si>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</si>
  <si>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</si>
  <si>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</si>
  <si>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</si>
  <si>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</si>
  <si>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</si>
  <si>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</si>
  <si>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</si>
  <si>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</si>
  <si>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</si>
  <si>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</si>
  <si>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</si>
  <si>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</si>
  <si>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</si>
  <si>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</si>
  <si>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</si>
  <si>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Claude</t>
  </si>
  <si>
    <t>Medium</t>
  </si>
  <si>
    <t>CORE PROMPTS DISTRIBUTION BY DTC COMPONENT</t>
  </si>
  <si>
    <t>DTC Component</t>
  </si>
  <si>
    <t>Number of Prompts</t>
  </si>
  <si>
    <t>Required (Min)</t>
  </si>
  <si>
    <t>≥ 1</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</si>
  <si>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</si>
  <si>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</si>
  <si>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</si>
  <si>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</si>
  <si>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</si>
  <si>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</si>
  <si>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</si>
  <si>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</si>
  <si>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</si>
  <si>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</si>
  <si>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</si>
  <si>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</si>
  <si>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</si>
  <si>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</si>
  <si>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</si>
  <si>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</si>
  <si>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</si>
  <si>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</si>
  <si>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</si>
  <si>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</si>
  <si>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</si>
  <si>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</si>
  <si>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</si>
  <si>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</si>
  <si>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</si>
  <si>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</si>
  <si>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</si>
  <si>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</si>
  <si>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</si>
  <si>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</si>
  <si>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</si>
  <si>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</si>
  <si>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</si>
  <si>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</si>
  <si>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</si>
  <si>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</si>
  <si>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</si>
  <si>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</si>
  <si>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</si>
  <si>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</si>
  <si>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</si>
  <si>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</si>
  <si>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</si>
  <si>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</si>
  <si>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</si>
  <si>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</si>
  <si>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</si>
  <si>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Nếu không có prompt này, project có thay đổi về architecture/design?</t>
  </si>
  <si>
    <t>Tôi có thể giải thích lý do chọn/không chọn gợi ý của AI?</t>
  </si>
  <si>
    <t>Có minh chứng cụ thể (code, metrics, comparison)?</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</si>
  <si>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</si>
  <si>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</si>
  <si>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</si>
  <si>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</si>
  <si>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</si>
  <si>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</si>
  <si>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</si>
  <si>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</si>
  <si>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</si>
  <si>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</si>
  <si>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</si>
  <si>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</si>
  <si>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</si>
  <si>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</si>
  <si>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</si>
  <si>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IOT102</t>
  </si>
  <si>
    <t>Weather Station Monitoring System</t>
  </si>
  <si>
    <t>Thái Thành Long</t>
  </si>
  <si>
    <t>SE172272</t>
  </si>
  <si>
    <t>Code generation, debugging</t>
  </si>
  <si>
    <t>Rapid prototyping</t>
  </si>
  <si>
    <t>Requirement analysis, design review</t>
  </si>
  <si>
    <t>Deep reflection</t>
  </si>
  <si>
    <t>GitHub Copilot</t>
  </si>
  <si>
    <t>Auto-completion</t>
  </si>
  <si>
    <t>Speed up coding</t>
  </si>
  <si>
    <t>Decomposition (Phân rã)</t>
  </si>
  <si>
    <t>Pattern Recognition (Nhận diện mẫu)</t>
  </si>
  <si>
    <t>Abstraction (Trừu tượng hóa)</t>
  </si>
  <si>
    <t>Algorithms (Thuật toán)</t>
  </si>
  <si>
    <t>Hardware Selection</t>
  </si>
  <si>
    <t>The team needs to select the main microcontroller: Arduino Uno or ESP32 to control the entire system.</t>
  </si>
  <si>
    <t>Is Arduino Uno or ESP32 more suitable for a smart door lock project featuring a fingerprint sensor, keypad, Bluetooth, and servo?</t>
  </si>
  <si>
    <t>AI recommended ESP32 because: built-in WiFi and Bluetooth, more memory, faster processing, highly suitable for modern IoT projects.</t>
  </si>
  <si>
    <t>Protocol Selection</t>
  </si>
  <si>
    <t>The team needs to choose how the phone communicates with the door lock: using HC-05 Bluetooth or WiFi MQTT.</t>
  </si>
  <si>
    <t>Should we use Bluetooth HC-05 or WiFi MQTT to control the door lock from a smartphone?</t>
  </si>
  <si>
    <t>AI proposed WiFi MQTT because: remote control from anywhere in the world, logs history to the cloud, standard protocol in IoT.</t>
  </si>
  <si>
    <t>PROBLEM SOLVING</t>
  </si>
  <si>
    <t>Fingerprint Enrollment Bug</t>
  </si>
  <si>
    <t>During new fingerprint enrollment, the 2nd scan step always fails, resulting in failure to store the fingerprint template.</t>
  </si>
  <si>
    <t>Why does enrollFingerprint() always fail on the 2nd scan? Here is our code: [paste code]</t>
  </si>
  <si>
    <t>AI identified the bug: variable 'p' was not reset to -1 before the 2nd scan loop, making the loop assume scanning was done and skip it. Also, code didn't prompt user to lift finger between scans.</t>
  </si>
  <si>
    <t>UART Conflict – Bluetooth vs USB Debug</t>
  </si>
  <si>
    <t>Commands sent via Bluetooth were noisy and corrupted when USB cable was connected to Arduino for debugging.</t>
  </si>
  <si>
    <t>HC-05 is using D0/D1 (hardware Serial), which is shared with USB debug. Bluetooth commands fail when USB is plugged in. How to fix?</t>
  </si>
  <si>
    <t>AI suggested: move HC-05 to SoftwareSerial on pins D2 and D3 to free up hardware Serial for USB debugging. E.g., SoftwareSerial BTSerial(2, 3);</t>
  </si>
  <si>
    <t>Security Vulnerability – Unauthenticated Reset</t>
  </si>
  <si>
    <t>Discovered that pressing key 'A' on keypad resets password to '1234' without requiring current password verification.</t>
  </si>
  <si>
    <t>Is this a security vulnerability? Key 'A' resets password to 1234 without any checks. Here is the code: [paste code]</t>
  </si>
  <si>
    <t>AI confirmed: critical security vulnerability. Anyone touching the keypad can reset password and unlock. Fix: require admin password verification first, similar to keys B, C, D.</t>
  </si>
  <si>
    <t>AI Hallucination – Fake Academic Citation</t>
  </si>
  <si>
    <t>Team asked AI for IEEE paper recommendations on multi-factor authentication (fingerprint + PIN) on IoT devices for report literature review.</t>
  </si>
  <si>
    <t>Find me an IEEE paper on multi-factor authentication combining fingerprint and PIN on embedded/IoT systems.</t>
  </si>
  <si>
    <t>AI suggested: 'Zhang et al. (2023), Multi-factor Authentication for Smart Home IoT Devices, IEEE Transactions on Consumer Electronics.' Included summary and performance metrics.</t>
  </si>
  <si>
    <t>Keypad Debouncing Algorithm</t>
  </si>
  <si>
    <t>Matrix $4 \times 4$ Keypad single keypresses were registered 2-3 times repeatedly (e.g., pressing '1' displayed '111').</t>
  </si>
  <si>
    <t>Write a Keypad 4x4 reading function for Arduino without key bounce and without blocking the main loop using delay().</t>
  </si>
  <si>
    <t>AI provided an algorithm using millis() combined with previous key state tracking (lastKeyState), setting a 50ms debounce interval before accepting new keys.</t>
  </si>
  <si>
    <t>Security Lockout State Machine</t>
  </si>
  <si>
    <t>Team needed to design a temporary system lockout mechanism when unauthorized user enters wrong PIN/fingerprint &gt;5 times.</t>
  </si>
  <si>
    <t>Design a Finite State Machine (FSM) to manage modes: UNLOCKED, LOCKED, LOCKOUT_ALARM (lock 5 mins on 5 failures). Provide C++ code example.</t>
  </si>
  <si>
    <t>AI proposed an enum State with simple switch(currentState) in loop(). For LOCKOUT_ALARM, AI used delay(300000) (5-minute delay) to freeze system.</t>
  </si>
  <si>
    <t>EEPROM Management (Password &amp; Fingerprint ID)</t>
  </si>
  <si>
    <t>On power loss or hardware reset, password and user settings were lost, reverting system to factory default.</t>
  </si>
  <si>
    <t>How to store 4-digit password and fingerprint ID in Arduino Uno EEPROM so data persists across power cycles? Provide EEPROM.write/read code.</t>
  </si>
  <si>
    <t>AI provided code using EEPROM.write() to write password characters and ID into addresses 0, 1, 2, 3... inside password verification routine upon success.</t>
  </si>
  <si>
    <t>Power Supply Brown-out Reset Audit</t>
  </si>
  <si>
    <t>Circuit experienced random resets (Brown-out Reset) whenever Servo rotated to pull the door latch.</t>
  </si>
  <si>
    <t>Why does Arduino Uno reset whenever SG90 Servo rotates? Is it a code bug? Here is the Servo code.</t>
  </si>
  <si>
    <t>AI attributed bug to code: suggested adding delay(500) after servo.write() or using VarSpeedServo library to slow down rotation speed.</t>
  </si>
  <si>
    <t>While ESP32 is more powerful, our project already uses the HC-05 module, making built-in WiFi/BT unnecessary. Given the team's familiarity with Arduino Uno and the 11-week timeline, Uno's 16MHz and 2KB RAM are fully sufficient for our 6 peripherals. We decided to keep Arduino Uno to save learning time.</t>
  </si>
  <si>
    <t>WiFi MQTT relies heavily on internet stability; network failure poses a severe security risk. Since users operate the lock locally within 10 meters, Bluetooth HC-05's sub-50ms latency is far more reliable than MQTT's 150–400ms lag. We decided to stick with Bluetooth HC-05 for offline reliability.</t>
  </si>
  <si>
    <r>
      <t xml:space="preserve">AI's diagnosis was accurate; we verified that the 2nd scan block was accidentally commented out during past debugging. Since AS608 requires two distinct scans for a valid template, we restored the code, added </t>
    </r>
    <r>
      <rPr>
        <sz val="10"/>
        <color theme="1"/>
        <rFont val="Google Sans Text"/>
        <family val="2"/>
      </rPr>
      <t>p = -1</t>
    </r>
    <r>
      <rPr>
        <sz val="11"/>
        <color theme="1"/>
        <rFont val="Arial"/>
        <family val="2"/>
      </rPr>
      <t>, and included a 2-second LCD prompt to lift the finger. This raised registration success from 40% to 100%.</t>
    </r>
  </si>
  <si>
    <t>AI's concept was correct, but pins D2/D3 were already assigned to the fingerprint sensor. Following AI blindly would cause new conflicts. By mapping the entire pinout (Keypad D4–D11, LCD A4–A5, Fingerprint D2–D3), we safely reassigned HC-05 to unused pins D13 and A3, successfully resolving the UART clash.</t>
  </si>
  <si>
    <t>Hardware testing confirmed the flaw; pressing 'A' immediately reset the password. This was a debug shortcut left behind by mistake. We fixed it by placing Key 'A' logic behind the admin password check. We also noted that power cycling resets the failed attempt counter, marking it as a limitation for future EEPROM logging.</t>
  </si>
  <si>
    <t>We detected an AI hallucination: searching IEEE Xplore yielded zero results for this paper—it was completely fabricated. To avoid academic dishonesty, we manually searched IEEE Xplore and cited two legitimate papers (Abuhamad et al., 2021; Mohsin et al., 2020), establishing a strict rule to verify all citations directly.</t>
  </si>
  <si>
    <r>
      <t xml:space="preserve">AI's custom </t>
    </r>
    <r>
      <rPr>
        <sz val="10"/>
        <color theme="1"/>
        <rFont val="Google Sans Text"/>
        <family val="2"/>
      </rPr>
      <t>millis()</t>
    </r>
    <r>
      <rPr>
        <sz val="11"/>
        <color theme="1"/>
        <rFont val="Arial"/>
        <family val="2"/>
      </rPr>
      <t xml:space="preserve"> algorithm drifted when integrated into </t>
    </r>
    <r>
      <rPr>
        <sz val="10"/>
        <color theme="1"/>
        <rFont val="Google Sans Text"/>
        <family val="2"/>
      </rPr>
      <t>loop()</t>
    </r>
    <r>
      <rPr>
        <sz val="11"/>
        <color theme="1"/>
        <rFont val="Arial"/>
        <family val="2"/>
      </rPr>
      <t xml:space="preserve"> due to SoftwareSerial interrupts from the fingerprint scanner. Instead of rewriting timing logic from scratch, we simplified the code by leveraging </t>
    </r>
    <r>
      <rPr>
        <sz val="10"/>
        <color theme="1"/>
        <rFont val="Google Sans Text"/>
        <family val="2"/>
      </rPr>
      <t>Keypad.h</t>
    </r>
    <r>
      <rPr>
        <sz val="11"/>
        <color theme="1"/>
        <rFont val="Arial"/>
        <family val="2"/>
      </rPr>
      <t xml:space="preserve">'s built-in </t>
    </r>
    <r>
      <rPr>
        <sz val="10"/>
        <color theme="1"/>
        <rFont val="Google Sans Text"/>
        <family val="2"/>
      </rPr>
      <t>KeypadEvent</t>
    </r>
    <r>
      <rPr>
        <sz val="11"/>
        <color theme="1"/>
        <rFont val="Arial"/>
        <family val="2"/>
      </rPr>
      <t xml:space="preserve"> listener on </t>
    </r>
    <r>
      <rPr>
        <sz val="10"/>
        <color theme="1"/>
        <rFont val="Google Sans Text"/>
        <family val="2"/>
      </rPr>
      <t>PRESSED</t>
    </r>
    <r>
      <rPr>
        <sz val="11"/>
        <color theme="1"/>
        <rFont val="Arial"/>
        <family val="2"/>
      </rPr>
      <t xml:space="preserve"> state, achieving 100% key accuracy without LCD freezing.</t>
    </r>
  </si>
  <si>
    <r>
      <t xml:space="preserve">Using </t>
    </r>
    <r>
      <rPr>
        <sz val="10"/>
        <color theme="1"/>
        <rFont val="Google Sans Text"/>
        <family val="2"/>
      </rPr>
      <t>delay(300000)</t>
    </r>
    <r>
      <rPr>
        <sz val="11"/>
        <color theme="1"/>
        <rFont val="Arial"/>
        <family val="2"/>
      </rPr>
      <t xml:space="preserve"> freezes the entire microcontroller, preventing alarm muting, Bluetooth connection, or emergency overrides. We rejected AI's blocking code and implemented a non-blocking FSM using </t>
    </r>
    <r>
      <rPr>
        <sz val="10"/>
        <color theme="1"/>
        <rFont val="Google Sans Text"/>
        <family val="2"/>
      </rPr>
      <t>millis()</t>
    </r>
    <r>
      <rPr>
        <sz val="11"/>
        <color theme="1"/>
        <rFont val="Arial"/>
        <family val="2"/>
      </rPr>
      <t xml:space="preserve"> timing and an </t>
    </r>
    <r>
      <rPr>
        <sz val="10"/>
        <color theme="1"/>
        <rFont val="Google Sans Text"/>
        <family val="2"/>
      </rPr>
      <t>isLockoutActive</t>
    </r>
    <r>
      <rPr>
        <sz val="11"/>
        <color theme="1"/>
        <rFont val="Arial"/>
        <family val="2"/>
      </rPr>
      <t xml:space="preserve"> flag, keeping Bluetooth responsive to Admin reset commands during lockouts.</t>
    </r>
  </si>
  <si>
    <r>
      <t xml:space="preserve">AI put </t>
    </r>
    <r>
      <rPr>
        <sz val="10"/>
        <color theme="1"/>
        <rFont val="Google Sans Text"/>
        <family val="2"/>
      </rPr>
      <t>EEPROM.write()</t>
    </r>
    <r>
      <rPr>
        <sz val="11"/>
        <color theme="1"/>
        <rFont val="Arial"/>
        <family val="2"/>
      </rPr>
      <t xml:space="preserve"> inside the password verification routine, causing continuous writes on every unlock and threatening EEPROM's ~100,000 cycle lifespan. We corrected this technical flaw by replacing it with </t>
    </r>
    <r>
      <rPr>
        <sz val="10"/>
        <color theme="1"/>
        <rFont val="Google Sans Text"/>
        <family val="2"/>
      </rPr>
      <t>EEPROM.update()</t>
    </r>
    <r>
      <rPr>
        <sz val="11"/>
        <color theme="1"/>
        <rFont val="Arial"/>
        <family val="2"/>
      </rPr>
      <t xml:space="preserve"> (writing only upon changes) and structuring a dedicated EEPROM memory map (0x00 for init flag, 0x01-0x04 for encrypted password).</t>
    </r>
  </si>
  <si>
    <t>AI misdiagnosed a hardware power issue as a software bug. The SG90 Servo draws up to 1A stall current, dropping USB voltage and triggering Arduino's Brown-out Reset. We resolved this 100% by adding an external 5V/2A power supply for the Servo (common GND) and placing a $470\mu\text{F}$ decoupling capacitor across its power rails.</t>
  </si>
  <si>
    <t>Move HC-05 to SoftwareSerial on pins D2 and D3 to resolve UART conflict with USB Debug port.</t>
  </si>
  <si>
    <t>Pins D2 and D3 are already occupied by the AS608 fingerprint sensor in current codebase. Following AI creates a new hardware conflict.</t>
  </si>
  <si>
    <t>AI suggested SoftwareSerial(2, 3) without scanning existing code context for pin allocations.</t>
  </si>
  <si>
    <r>
      <t xml:space="preserve">Re-checked codebase and identified </t>
    </r>
    <r>
      <rPr>
        <sz val="10"/>
        <color theme="1"/>
        <rFont val="Google Sans Text"/>
        <family val="2"/>
      </rPr>
      <t>SoftwareSerial fingerSerial(2, 3)</t>
    </r>
    <r>
      <rPr>
        <sz val="11"/>
        <color theme="1"/>
        <rFont val="Arial"/>
        <family val="2"/>
      </rPr>
      <t xml:space="preserve"> occupying D2/D3. AI missed overall hardware setup.</t>
    </r>
  </si>
  <si>
    <t>Fabrication (Fake Citation)</t>
  </si>
  <si>
    <t>AI cited "Zhang et al. (2023), Multi-factor Authentication for Smart Home IoT Devices, IEEE Transactions on Consumer Electronics" with metrics.</t>
  </si>
  <si>
    <t>Paper is completely non-existent. Searching IEEE Xplore with exact title and authors yields zero matching results.</t>
  </si>
  <si>
    <t>AI fabricated a realistic-sounding academic paper, author list, and performance dataset.</t>
  </si>
  <si>
    <t>Cross-checked IEEE Xplore, Google Scholar, and ResearchGate—no records found, confirming AI hallucination.</t>
  </si>
  <si>
    <t>Technical &amp; Logical Error</t>
  </si>
  <si>
    <r>
      <t xml:space="preserve">AI recommended calling </t>
    </r>
    <r>
      <rPr>
        <sz val="10"/>
        <color theme="1"/>
        <rFont val="Google Sans Text"/>
        <family val="2"/>
      </rPr>
      <t>EEPROM.write()</t>
    </r>
    <r>
      <rPr>
        <sz val="11"/>
        <color theme="1"/>
        <rFont val="Arial"/>
        <family val="2"/>
      </rPr>
      <t xml:space="preserve"> inside the main unlock verification loop to store password and fingerprint ID.</t>
    </r>
  </si>
  <si>
    <r>
      <t xml:space="preserve">Calling </t>
    </r>
    <r>
      <rPr>
        <sz val="10"/>
        <color theme="1"/>
        <rFont val="Google Sans Text"/>
        <family val="2"/>
      </rPr>
      <t>EEPROM.write()</t>
    </r>
    <r>
      <rPr>
        <sz val="11"/>
        <color theme="1"/>
        <rFont val="Arial"/>
        <family val="2"/>
      </rPr>
      <t xml:space="preserve"> on every successful unlock continuously overwrites cells, wearing out Arduino's ~100k cycle EEPROM lifespan rapidly.</t>
    </r>
  </si>
  <si>
    <t>AI code snippet completely disregarded hardware component endurance and memory wear limit rules.</t>
  </si>
  <si>
    <t>Evaluated ATmega328P datasheet specs regarding EEPROM write cycles. AI ignored physical chip limitations in code logic.</t>
  </si>
  <si>
    <t>Misdiagnosis / False Attribution</t>
  </si>
  <si>
    <t>AI attributed continuous Arduino resets during SG90 Servo rotation to software bugs (missing delays, speed optimization).</t>
  </si>
  <si>
    <t>Issue is a hardware voltage drop (Brown-out Reset) caused by Servo's 500mA–1A inrush current exceeding USB 5V rail capacity.</t>
  </si>
  <si>
    <t>AI incorrectly targeted code logic adjustments instead of identifying physical power supply constraint.</t>
  </si>
  <si>
    <t>Measured 5V rail with a multimeter; voltage dropped below 3.8V when Servo engaged, triggering MCU Brown-out Reset.</t>
  </si>
  <si>
    <t>Tất cả 10 prompts đều quyết định trực tiếp về Phần cứng, Giao thức, Kiến trúc code, Bộ nhớ EEPROM và Xử lý lỗi bảo mật.</t>
  </si>
  <si>
    <t>Thay đổi hoàn toàn sơ đồ chân (D13/A3), FSM máy trạng thái khóa, thuật toán chống dội phím và tụ lọc áp nguồn.</t>
  </si>
  <si>
    <t>Đầy đủ $100\%$ minh chứng: Bảng so sánh Uno vs ESP32, Tỷ lệ đăng ký $40\% \rightarrow 100\%$, Sơ đồ EEPROM Map, Ảnh chụp IEEE Xplore.</t>
  </si>
  <si>
    <t>Phát hiện ra $4$ trường hợp AI đưa giải pháp sai bối cảnh, bịa tài liệu, sai nguyên nhân phần cứng và ghi chai bộ nhớ.</t>
  </si>
  <si>
    <t>X</t>
  </si>
  <si>
    <r>
      <t xml:space="preserve">Có Human Delta phân tích rõ: Bỏ ESP32/WiFi vì tốn tiền/phụ thuộc mạng; Bỏ </t>
    </r>
    <r>
      <rPr>
        <sz val="9"/>
        <color theme="1"/>
        <rFont val="Google Sans Text"/>
        <family val="2"/>
      </rPr>
      <t>delay()</t>
    </r>
    <r>
      <rPr>
        <sz val="9"/>
        <color theme="1"/>
        <rFont val="Arial"/>
        <family val="2"/>
      </rPr>
      <t xml:space="preserve"> vì đóng băng vi điều khiển; Bỏ </t>
    </r>
    <r>
      <rPr>
        <sz val="9"/>
        <color theme="1"/>
        <rFont val="Google Sans Text"/>
        <family val="2"/>
      </rPr>
      <t>EEPROM.write()</t>
    </r>
    <r>
      <rPr>
        <sz val="9"/>
        <color theme="1"/>
        <rFont val="Arial"/>
        <family val="2"/>
      </rPr>
      <t xml:space="preserve"> vì chai chip.</t>
    </r>
  </si>
  <si>
    <t>10 entries</t>
  </si>
  <si>
    <t>Đủ 4/4 DTC</t>
  </si>
  <si>
    <t>4 Cases</t>
  </si>
  <si>
    <t>10/10 entries</t>
  </si>
  <si>
    <t>100% (10/10)</t>
  </si>
  <si>
    <t>Có evidence cho ≥70%$ entries?</t>
  </si>
  <si>
    <t>Yes, chose "ESP-Only" nodes (NodeMCU ESP8266) and isolated ML responsibilities to Cloud server.</t>
  </si>
  <si>
    <t>Yes, AI recommended adding Arduino UNO for sensor collection and ESP32 for cloud communication.</t>
  </si>
  <si>
    <t>Yes, hardware architecture block diagram, BOM table, &amp; ESP-12E wiring diagram.</t>
  </si>
  <si>
    <r>
      <t xml:space="preserve">Yes, structured Sensor node wholly in </t>
    </r>
    <r>
      <rPr>
        <sz val="10"/>
        <color theme="1"/>
        <rFont val="Google Sans Text"/>
        <family val="2"/>
      </rPr>
      <t>setup()</t>
    </r>
    <r>
      <rPr>
        <sz val="11"/>
        <color theme="1"/>
        <rFont val="Arial"/>
        <family val="2"/>
      </rPr>
      <t xml:space="preserve"> and pulsed rain sensor via power pin.</t>
    </r>
  </si>
  <si>
    <t>Yes, AI suggested loop-based continuously running execution without deep sleep hardware jumper.</t>
  </si>
  <si>
    <t>Yes, Sensor Node algorithm flowchart, GPIO16 (D0) to RST wire schematic, &amp; power state diagram.</t>
  </si>
  <si>
    <r>
      <t xml:space="preserve">Yes, implemented LittleFS </t>
    </r>
    <r>
      <rPr>
        <sz val="10"/>
        <color theme="1"/>
        <rFont val="Google Sans Text"/>
        <family val="2"/>
      </rPr>
      <t>/offline.csv</t>
    </r>
    <r>
      <rPr>
        <sz val="11"/>
        <color theme="1"/>
        <rFont val="Arial"/>
        <family val="2"/>
      </rPr>
      <t xml:space="preserve"> sync with </t>
    </r>
    <r>
      <rPr>
        <sz val="10"/>
        <color theme="1"/>
        <rFont val="Google Sans Text"/>
        <family val="2"/>
      </rPr>
      <t>offlineSentCount</t>
    </r>
    <r>
      <rPr>
        <sz val="11"/>
        <color theme="1"/>
        <rFont val="Arial"/>
        <family val="2"/>
      </rPr>
      <t xml:space="preserve"> compensating pointer.</t>
    </r>
  </si>
  <si>
    <t>Yes, AI recommended immediate file deletion or clearing the whole storage after each upload attempt.</t>
  </si>
  <si>
    <r>
      <t xml:space="preserve">Yes, non-blocking </t>
    </r>
    <r>
      <rPr>
        <sz val="10"/>
        <color theme="1"/>
        <rFont val="Google Sans Text"/>
        <family val="2"/>
      </rPr>
      <t>handleAutoSync()</t>
    </r>
    <r>
      <rPr>
        <sz val="11"/>
        <color theme="1"/>
        <rFont val="Arial"/>
        <family val="2"/>
      </rPr>
      <t xml:space="preserve"> code, rate-limit guard, &amp; 16s ThingSpeak delay sync logs.</t>
    </r>
  </si>
  <si>
    <r>
      <t xml:space="preserve">Yes, scaled floats to 16-bit integers in packed C++ struct </t>
    </r>
    <r>
      <rPr>
        <sz val="10"/>
        <color theme="1"/>
        <rFont val="Google Sans Text"/>
        <family val="2"/>
      </rPr>
      <t>WeatherPkt_t</t>
    </r>
    <r>
      <rPr>
        <sz val="11"/>
        <color theme="1"/>
        <rFont val="Arial"/>
        <family val="2"/>
      </rPr>
      <t xml:space="preserve"> (15 bytes).</t>
    </r>
  </si>
  <si>
    <t>Yes, AI proposed sending ASCII JSON strings or raw float structs via LoRa modulation.</t>
  </si>
  <si>
    <r>
      <t xml:space="preserve">Yes, 28.8ms Time-on-Air calculation table, Airtime comparison, &amp; </t>
    </r>
    <r>
      <rPr>
        <sz val="10"/>
        <color theme="1"/>
        <rFont val="Google Sans Text"/>
        <family val="2"/>
      </rPr>
      <t>#pragma pack(push, 1)</t>
    </r>
    <r>
      <rPr>
        <sz val="11"/>
        <color theme="1"/>
        <rFont val="Arial"/>
        <family val="2"/>
      </rPr>
      <t xml:space="preserve"> C++ struct.</t>
    </r>
  </si>
  <si>
    <r>
      <t>Yes, fault-tolerance matrix using local AP/STA dual mode (</t>
    </r>
    <r>
      <rPr>
        <sz val="10"/>
        <color theme="1"/>
        <rFont val="Google Sans Text"/>
        <family val="2"/>
      </rPr>
      <t>WIFI_AP_STA</t>
    </r>
    <r>
      <rPr>
        <sz val="11"/>
        <color theme="1"/>
        <rFont val="Arial"/>
        <family val="2"/>
      </rPr>
      <t>) on Gateway.</t>
    </r>
  </si>
  <si>
    <r>
      <t>Yes, AI recommended standard Wi-Fi station mode (</t>
    </r>
    <r>
      <rPr>
        <sz val="10"/>
        <color theme="1"/>
        <rFont val="Google Sans Text"/>
        <family val="2"/>
      </rPr>
      <t>WIFI_STA</t>
    </r>
    <r>
      <rPr>
        <sz val="11"/>
        <color theme="1"/>
        <rFont val="Arial"/>
        <family val="2"/>
      </rPr>
      <t>) relying solely on external router access.</t>
    </r>
  </si>
  <si>
    <r>
      <t xml:space="preserve">Yes, Local Edge Web Dashboard screenshot at </t>
    </r>
    <r>
      <rPr>
        <sz val="10"/>
        <color theme="1"/>
        <rFont val="Google Sans Text"/>
        <family val="2"/>
      </rPr>
      <t>192.168.4.1</t>
    </r>
    <r>
      <rPr>
        <sz val="11"/>
        <color theme="1"/>
        <rFont val="Arial"/>
        <family val="2"/>
      </rPr>
      <t xml:space="preserve"> &amp; offline monitoring topology.</t>
    </r>
  </si>
  <si>
    <r>
      <t xml:space="preserve">Yes, used dual-layer filtering (Sync Word </t>
    </r>
    <r>
      <rPr>
        <sz val="10"/>
        <color theme="1"/>
        <rFont val="Google Sans Text"/>
        <family val="2"/>
      </rPr>
      <t>0xAB</t>
    </r>
    <r>
      <rPr>
        <sz val="11"/>
        <color theme="1"/>
        <rFont val="Arial"/>
        <family val="2"/>
      </rPr>
      <t xml:space="preserve"> + Node ID </t>
    </r>
    <r>
      <rPr>
        <sz val="10"/>
        <color theme="1"/>
        <rFont val="Google Sans Text"/>
        <family val="2"/>
      </rPr>
      <t>0x0001</t>
    </r>
    <r>
      <rPr>
        <sz val="11"/>
        <color theme="1"/>
        <rFont val="Arial"/>
        <family val="2"/>
      </rPr>
      <t xml:space="preserve"> verification).</t>
    </r>
  </si>
  <si>
    <r>
      <t xml:space="preserve">Yes, AI proposed default Sync Word </t>
    </r>
    <r>
      <rPr>
        <sz val="10"/>
        <color theme="1"/>
        <rFont val="Google Sans Text"/>
        <family val="2"/>
      </rPr>
      <t>0x12</t>
    </r>
    <r>
      <rPr>
        <sz val="11"/>
        <color theme="1"/>
        <rFont val="Arial"/>
        <family val="2"/>
      </rPr>
      <t xml:space="preserve"> only without embedded hardware Node ID checks.</t>
    </r>
  </si>
  <si>
    <t>Yes, SX1278 SPI register setup code &amp; 433MHz crosstalk verification log.</t>
  </si>
  <si>
    <t>Yes, packed local alarms in 1-byte flags and filtered physical rain via Hysteresis thresholding.</t>
  </si>
  <si>
    <t>Yes, AI proposed raw bitmask alerts and digital high/low thresholding without noise filtering.</t>
  </si>
  <si>
    <r>
      <t xml:space="preserve">Yes, LM393 16-sample </t>
    </r>
    <r>
      <rPr>
        <sz val="10"/>
        <color theme="1"/>
        <rFont val="Google Sans Text"/>
        <family val="2"/>
      </rPr>
      <t>analogRead()</t>
    </r>
    <r>
      <rPr>
        <sz val="11"/>
        <color theme="1"/>
        <rFont val="Arial"/>
        <family val="2"/>
      </rPr>
      <t xml:space="preserve"> averaging loop &amp; physical Buzzer actuation trigger.</t>
    </r>
  </si>
  <si>
    <r>
      <t>Yes, direct SPI command (</t>
    </r>
    <r>
      <rPr>
        <sz val="10"/>
        <color theme="1"/>
        <rFont val="Google Sans Text"/>
        <family val="2"/>
      </rPr>
      <t>REG_OP_MODE</t>
    </r>
    <r>
      <rPr>
        <sz val="11"/>
        <color theme="1"/>
        <rFont val="Arial"/>
        <family val="2"/>
      </rPr>
      <t>) to force SX1278 into sleep mode before Deep Sleep.</t>
    </r>
  </si>
  <si>
    <r>
      <t xml:space="preserve">Yes, AI recommended importing heavy third-party </t>
    </r>
    <r>
      <rPr>
        <sz val="10"/>
        <color theme="1"/>
        <rFont val="Google Sans Text"/>
        <family val="2"/>
      </rPr>
      <t>LoRa.h</t>
    </r>
    <r>
      <rPr>
        <sz val="11"/>
        <color theme="1"/>
        <rFont val="Arial"/>
        <family val="2"/>
      </rPr>
      <t xml:space="preserve"> library without explicit radio sleep state.</t>
    </r>
  </si>
  <si>
    <t>Yes, 1.5mA standby leakage prevention trace table &amp; C++ direct SPI register writes.</t>
  </si>
  <si>
    <t>Yes, local hybrid rain override equation at Gateway ($P_{rain} = \max(P_{rain}, 60\% + (700 - R_{analog}) \times 0.05)$).</t>
  </si>
  <si>
    <t>Yes, AI suggested linear scaling without clamp or edge sensor threshold correction logic.</t>
  </si>
  <si>
    <t>Yes, hybrid correction math formula, local rain probability override test cases, &amp; field data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</si>
</sst>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scheme val="minor"/>
    </font>
    <font>
      <b/>
      <sz val="14"/>
      <color rgb="FF2E75B6"/>
      <name val="Calibri"/>
    </font>
    <font>
      <b/>
      <sz val="11"/>
      <name val="Calibri"/>
    </font>
    <font>
      <b/>
      <sz val="11"/>
      <color rgb="FFFFFFFF"/>
      <name val="Calibri"/>
    </font>
    <font>
      <b/>
      <sz val="16"/>
      <color rgb="FFFF0000"/>
      <name val="Calibri"/>
    </font>
    <font>
      <b/>
      <i/>
      <sz val="10"/>
      <color rgb="FFFF0000"/>
      <name val="Calibri"/>
    </font>
    <font>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b/>
      <sz val="12"/>
      <color rgb="FFFF0000"/>
      <name val="Times New Roman"/>
      <family val="1"/>
    </font>
    <font>
      <sz val="11"/>
      <color rgb="FFFF0000"/>
      <name val="Times New Roman"/>
      <family val="1"/>
    </font>
    <font>
      <i/>
      <sz val="10"/>
      <name val="Times New Roman"/>
      <family val="1"/>
    </font>
    <font>
      <sz val="8"/>
      <name val="Calibri"/>
      <family val="2"/>
      <scheme val="minor"/>
    </font>
    <font>
      <sz val="11"/>
      <color theme="1"/>
      <name val="Arial"/>
      <family val="2"/>
    </font>
    <font>
      <b/>
      <sz val="11"/>
      <color theme="1"/>
      <name val="Arial"/>
      <family val="2"/>
    </font>
    <font>
      <sz val="10"/>
      <color theme="1"/>
      <name val="Google Sans Text"/>
      <family val="2"/>
    </font>
    <font>
      <b/>
      <sz val="9"/>
      <color theme="1"/>
      <name val="Arial"/>
      <family val="2"/>
    </font>
    <font>
      <sz val="9"/>
      <color theme="1"/>
      <name val="Arial"/>
      <family val="2"/>
    </font>
    <font>
      <sz val="9"/>
      <color theme="1"/>
      <name val="Google Sans Text"/>
      <family val="2"/>
    </font>
  </fonts>
  <fills count="6">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rgb="FFFFFF00"/>
        <bgColor indexed="64"/>
      </patternFill>
    </fill>
  </fills>
  <borders count="7">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1">
    <xf numFmtId="0" fontId="0" fillId="0" borderId="0"/>
  </cellStyleXfs>
  <cellXfs count="48">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6" fillId="0" borderId="0" xfId="0" applyFont="1" applyAlignment="1">
      <alignment vertical="center" wrapText="1"/>
    </xf>
    <xf numFmtId="0" fontId="6" fillId="0" borderId="2" xfId="0" applyFont="1" applyBorder="1" applyAlignment="1">
      <alignment vertical="center" wrapText="1"/>
    </xf>
    <xf numFmtId="0" fontId="6" fillId="0" borderId="0" xfId="0" applyFont="1"/>
    <xf numFmtId="0" fontId="9" fillId="3" borderId="1" xfId="0" applyFont="1" applyFill="1" applyBorder="1" applyAlignment="1">
      <alignment horizontal="center" vertical="center" wrapText="1"/>
    </xf>
    <xf numFmtId="0" fontId="6" fillId="0" borderId="1" xfId="0" quotePrefix="1" applyFont="1" applyBorder="1" applyAlignment="1">
      <alignment vertical="center" wrapText="1"/>
    </xf>
    <xf numFmtId="0" fontId="6" fillId="0" borderId="1" xfId="0" applyFont="1" applyBorder="1" applyAlignment="1">
      <alignment horizontal="left" vertical="top" wrapText="1"/>
    </xf>
    <xf numFmtId="0" fontId="10" fillId="0" borderId="0" xfId="0" applyFont="1"/>
    <xf numFmtId="0" fontId="11" fillId="0" borderId="0" xfId="0" applyFont="1"/>
    <xf numFmtId="0" fontId="6" fillId="2" borderId="0" xfId="0" applyFont="1" applyFill="1"/>
    <xf numFmtId="164" fontId="6" fillId="0" borderId="0" xfId="0" applyNumberFormat="1" applyFont="1"/>
    <xf numFmtId="0" fontId="12" fillId="0" borderId="0" xfId="0" applyFont="1"/>
    <xf numFmtId="0" fontId="6" fillId="0" borderId="1" xfId="0" applyFont="1" applyBorder="1" applyAlignment="1">
      <alignment horizontal="center" vertical="center" wrapText="1"/>
    </xf>
    <xf numFmtId="0" fontId="9" fillId="3" borderId="1" xfId="0" applyFont="1" applyFill="1" applyBorder="1" applyAlignment="1">
      <alignment horizontal="left" vertical="top" wrapText="1"/>
    </xf>
    <xf numFmtId="0" fontId="13" fillId="0" borderId="0" xfId="0" applyFont="1"/>
    <xf numFmtId="0" fontId="14" fillId="0" borderId="0" xfId="0" applyFont="1"/>
    <xf numFmtId="0" fontId="15" fillId="0" borderId="0" xfId="0" applyFont="1"/>
    <xf numFmtId="0" fontId="11" fillId="4" borderId="1" xfId="0" applyFont="1" applyFill="1" applyBorder="1" applyAlignment="1">
      <alignment horizontal="center" vertical="center" wrapText="1"/>
    </xf>
    <xf numFmtId="0" fontId="11" fillId="4" borderId="1" xfId="0" applyFont="1" applyFill="1" applyBorder="1" applyAlignment="1">
      <alignment horizontal="left" vertical="top" wrapText="1"/>
    </xf>
    <xf numFmtId="0" fontId="6" fillId="0" borderId="1" xfId="0" applyFont="1" applyBorder="1" applyAlignment="1">
      <alignment horizontal="left" vertical="center" wrapText="1"/>
    </xf>
    <xf numFmtId="0" fontId="6" fillId="0" borderId="0" xfId="0" applyFont="1" applyAlignment="1">
      <alignment vertical="center"/>
    </xf>
    <xf numFmtId="0" fontId="6" fillId="0" borderId="0" xfId="0" applyFont="1" applyAlignment="1">
      <alignment vertical="top"/>
    </xf>
    <xf numFmtId="0" fontId="7" fillId="0" borderId="0" xfId="0" applyFont="1" applyAlignment="1">
      <alignment horizontal="center" vertical="center" wrapText="1"/>
    </xf>
    <xf numFmtId="0" fontId="6" fillId="0" borderId="0" xfId="0" applyFont="1"/>
    <xf numFmtId="0" fontId="8" fillId="0" borderId="0" xfId="0" applyFont="1" applyAlignment="1">
      <alignment horizontal="left" vertical="top" wrapText="1"/>
    </xf>
    <xf numFmtId="0" fontId="5"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8" fillId="0" borderId="0" xfId="0" applyFont="1" applyAlignment="1">
      <alignment horizontal="center" vertical="center" wrapText="1"/>
    </xf>
    <xf numFmtId="0" fontId="18" fillId="0" borderId="3" xfId="0" applyFont="1" applyBorder="1" applyAlignment="1">
      <alignment horizontal="left" vertical="center" wrapText="1" indent="1"/>
    </xf>
    <xf numFmtId="0" fontId="17" fillId="0" borderId="3" xfId="0" applyFont="1" applyBorder="1" applyAlignment="1">
      <alignment horizontal="left" vertical="center" wrapText="1" indent="1"/>
    </xf>
    <xf numFmtId="0" fontId="17" fillId="5" borderId="3" xfId="0" applyFont="1" applyFill="1" applyBorder="1" applyAlignment="1">
      <alignment horizontal="left" vertical="center" wrapText="1" indent="1"/>
    </xf>
    <xf numFmtId="0" fontId="18" fillId="0" borderId="4" xfId="0" applyFont="1" applyBorder="1" applyAlignment="1">
      <alignment horizontal="left" vertical="center" wrapText="1" indent="1"/>
    </xf>
    <xf numFmtId="0" fontId="0" fillId="0" borderId="5" xfId="0" applyBorder="1" applyAlignment="1">
      <alignment horizontal="left" vertical="center" wrapText="1" indent="1"/>
    </xf>
    <xf numFmtId="0" fontId="18" fillId="0" borderId="5" xfId="0" applyFont="1" applyBorder="1" applyAlignment="1">
      <alignment horizontal="left" vertical="center" wrapText="1" indent="1"/>
    </xf>
    <xf numFmtId="0" fontId="18" fillId="0" borderId="6" xfId="0" applyFont="1" applyBorder="1" applyAlignment="1">
      <alignment horizontal="left" vertical="center" wrapText="1" indent="1"/>
    </xf>
    <xf numFmtId="0" fontId="18" fillId="0" borderId="4" xfId="0" applyFont="1" applyBorder="1" applyAlignment="1">
      <alignment horizontal="left" vertical="center" wrapText="1" indent="1"/>
    </xf>
    <xf numFmtId="0" fontId="18" fillId="0" borderId="5" xfId="0" applyFont="1" applyBorder="1" applyAlignment="1">
      <alignment horizontal="left" vertical="center" wrapText="1" indent="1"/>
    </xf>
    <xf numFmtId="0" fontId="18" fillId="0" borderId="6" xfId="0" applyFont="1" applyBorder="1" applyAlignment="1">
      <alignment horizontal="left" vertical="center" wrapText="1" indent="1"/>
    </xf>
    <xf numFmtId="0" fontId="17" fillId="0" borderId="4" xfId="0" applyFont="1" applyBorder="1" applyAlignment="1">
      <alignment horizontal="left" vertical="center" wrapText="1" indent="1"/>
    </xf>
    <xf numFmtId="0" fontId="17" fillId="0" borderId="5" xfId="0" applyFont="1" applyBorder="1" applyAlignment="1">
      <alignment horizontal="left" vertical="center" wrapText="1" indent="1"/>
    </xf>
    <xf numFmtId="0" fontId="17" fillId="0" borderId="6" xfId="0" applyFont="1" applyBorder="1" applyAlignment="1">
      <alignment horizontal="left" vertical="center" wrapText="1" indent="1"/>
    </xf>
    <xf numFmtId="0" fontId="20" fillId="0" borderId="3" xfId="0" applyFont="1" applyBorder="1" applyAlignment="1">
      <alignment horizontal="left" vertical="center" wrapText="1" indent="1"/>
    </xf>
    <xf numFmtId="0" fontId="21" fillId="0" borderId="3" xfId="0" applyFont="1" applyBorder="1" applyAlignment="1">
      <alignment horizontal="left" vertical="center" wrapText="1" inden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C27" sqref="C27"/>
    </sheetView>
  </sheetViews>
  <sheetFormatPr defaultColWidth="8.77734375" defaultRowHeight="13.8"/>
  <cols>
    <col min="1" max="1" width="25" style="7" customWidth="1"/>
    <col min="2" max="2" width="40" style="7" customWidth="1"/>
    <col min="3" max="3" width="15" style="7" customWidth="1"/>
    <col min="4" max="4" width="30" style="7" customWidth="1"/>
    <col min="5" max="6" width="20" style="7" customWidth="1"/>
    <col min="7" max="16384" width="8.77734375" style="7"/>
  </cols>
  <sheetData>
    <row r="1" spans="1:6">
      <c r="A1" s="26" t="s">
        <v>0</v>
      </c>
      <c r="B1" s="27"/>
      <c r="C1" s="27"/>
      <c r="D1" s="27"/>
      <c r="E1" s="27"/>
      <c r="F1" s="27"/>
    </row>
    <row r="3" spans="1:6" ht="17.399999999999999">
      <c r="A3" s="11" t="s">
        <v>1</v>
      </c>
    </row>
    <row r="4" spans="1:6">
      <c r="A4" s="12" t="s">
        <v>2</v>
      </c>
      <c r="C4" s="7" t="s">
        <v>93</v>
      </c>
    </row>
    <row r="5" spans="1:6">
      <c r="A5" s="12" t="s">
        <v>3</v>
      </c>
      <c r="C5" s="7" t="s">
        <v>94</v>
      </c>
    </row>
    <row r="6" spans="1:6">
      <c r="A6" s="12" t="s">
        <v>4</v>
      </c>
      <c r="C6" s="7" t="s">
        <v>91</v>
      </c>
    </row>
    <row r="7" spans="1:6">
      <c r="A7" s="12" t="s">
        <v>5</v>
      </c>
      <c r="C7" s="7" t="s">
        <v>92</v>
      </c>
    </row>
    <row r="9" spans="1:6" ht="17.399999999999999">
      <c r="A9" s="11" t="s">
        <v>6</v>
      </c>
    </row>
    <row r="10" spans="1:6">
      <c r="A10" s="12" t="s">
        <v>7</v>
      </c>
      <c r="C10" s="7">
        <v>120</v>
      </c>
    </row>
    <row r="11" spans="1:6">
      <c r="A11" s="12" t="s">
        <v>8</v>
      </c>
      <c r="C11" s="13">
        <v>10</v>
      </c>
    </row>
    <row r="12" spans="1:6">
      <c r="A12" s="12" t="s">
        <v>9</v>
      </c>
      <c r="C12" s="14">
        <f>C11/C10</f>
        <v>8.3333333333333329E-2</v>
      </c>
      <c r="E12" s="15" t="s">
        <v>10</v>
      </c>
    </row>
    <row r="13" spans="1:6">
      <c r="A13" s="12" t="s">
        <v>11</v>
      </c>
      <c r="C13" s="13">
        <v>3</v>
      </c>
    </row>
    <row r="15" spans="1:6" ht="17.399999999999999">
      <c r="A15" s="11" t="s">
        <v>12</v>
      </c>
    </row>
    <row r="16" spans="1:6" ht="14.4" thickBot="1">
      <c r="A16" s="8" t="s">
        <v>13</v>
      </c>
      <c r="B16" s="8" t="s">
        <v>14</v>
      </c>
      <c r="C16" s="8" t="s">
        <v>15</v>
      </c>
      <c r="D16" s="8" t="s">
        <v>16</v>
      </c>
    </row>
    <row r="17" spans="1:6" ht="14.4" thickBot="1">
      <c r="A17" s="33" t="s">
        <v>17</v>
      </c>
      <c r="B17" s="34" t="s">
        <v>95</v>
      </c>
      <c r="C17" s="34" t="s">
        <v>18</v>
      </c>
      <c r="D17" s="34" t="s">
        <v>96</v>
      </c>
    </row>
    <row r="18" spans="1:6" ht="14.4" thickBot="1">
      <c r="A18" s="33" t="s">
        <v>19</v>
      </c>
      <c r="B18" s="34" t="s">
        <v>97</v>
      </c>
      <c r="C18" s="34" t="s">
        <v>20</v>
      </c>
      <c r="D18" s="34" t="s">
        <v>98</v>
      </c>
    </row>
    <row r="19" spans="1:6" ht="14.4" thickBot="1">
      <c r="A19" s="33" t="s">
        <v>99</v>
      </c>
      <c r="B19" s="34" t="s">
        <v>100</v>
      </c>
      <c r="C19" s="34" t="s">
        <v>18</v>
      </c>
      <c r="D19" s="34" t="s">
        <v>101</v>
      </c>
    </row>
    <row r="20" spans="1:6">
      <c r="A20" s="10"/>
      <c r="B20" s="10"/>
      <c r="C20" s="10"/>
      <c r="D20" s="10"/>
    </row>
    <row r="22" spans="1:6" ht="17.399999999999999">
      <c r="A22" s="11" t="s">
        <v>21</v>
      </c>
    </row>
    <row r="23" spans="1:6" ht="14.4" thickBot="1">
      <c r="A23" s="8" t="s">
        <v>22</v>
      </c>
      <c r="B23" s="8" t="s">
        <v>23</v>
      </c>
      <c r="C23" s="8" t="s">
        <v>24</v>
      </c>
    </row>
    <row r="24" spans="1:6" ht="28.2" thickBot="1">
      <c r="A24" s="33" t="s">
        <v>102</v>
      </c>
      <c r="B24" s="35">
        <v>2</v>
      </c>
      <c r="C24" s="16" t="s">
        <v>25</v>
      </c>
    </row>
    <row r="25" spans="1:6" ht="28.2" thickBot="1">
      <c r="A25" s="33" t="s">
        <v>103</v>
      </c>
      <c r="B25" s="35">
        <v>3</v>
      </c>
      <c r="C25" s="16" t="s">
        <v>25</v>
      </c>
    </row>
    <row r="26" spans="1:6" ht="28.2" thickBot="1">
      <c r="A26" s="33" t="s">
        <v>104</v>
      </c>
      <c r="B26" s="35">
        <v>2</v>
      </c>
      <c r="C26" s="16" t="s">
        <v>25</v>
      </c>
    </row>
    <row r="27" spans="1:6" ht="28.2" thickBot="1">
      <c r="A27" s="33" t="s">
        <v>105</v>
      </c>
      <c r="B27" s="35">
        <v>3</v>
      </c>
      <c r="C27" s="16" t="s">
        <v>25</v>
      </c>
      <c r="E27" s="33"/>
      <c r="F27" s="33"/>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4"/>
  <sheetViews>
    <sheetView zoomScale="55" zoomScaleNormal="55" workbookViewId="0">
      <selection activeCell="H4" sqref="H4"/>
    </sheetView>
  </sheetViews>
  <sheetFormatPr defaultRowHeight="14.4"/>
  <cols>
    <col min="1" max="1" width="8" customWidth="1"/>
    <col min="2" max="3" width="18" customWidth="1"/>
    <col min="4" max="4" width="25" customWidth="1"/>
    <col min="5" max="5" width="30" customWidth="1"/>
    <col min="6" max="6" width="35" customWidth="1"/>
    <col min="7" max="7" width="50" customWidth="1"/>
    <col min="8" max="8" width="26.77734375" customWidth="1"/>
  </cols>
  <sheetData>
    <row r="1" spans="1:16">
      <c r="A1" s="26" t="s">
        <v>26</v>
      </c>
      <c r="B1" s="27"/>
      <c r="C1" s="27"/>
      <c r="D1" s="27"/>
      <c r="E1" s="27"/>
      <c r="F1" s="27"/>
      <c r="G1" s="27"/>
      <c r="H1" s="27"/>
    </row>
    <row r="2" spans="1:16" ht="30" customHeight="1">
      <c r="A2" s="28" t="s">
        <v>27</v>
      </c>
      <c r="B2" s="27"/>
      <c r="C2" s="27"/>
      <c r="D2" s="27"/>
      <c r="E2" s="27"/>
      <c r="F2" s="27"/>
      <c r="G2" s="27"/>
      <c r="H2" s="27"/>
    </row>
    <row r="3" spans="1:16" ht="40.049999999999997" customHeight="1" thickBot="1">
      <c r="A3" s="8" t="s">
        <v>28</v>
      </c>
      <c r="B3" s="8" t="s">
        <v>29</v>
      </c>
      <c r="C3" s="8" t="s">
        <v>30</v>
      </c>
      <c r="D3" s="8" t="s">
        <v>31</v>
      </c>
      <c r="E3" s="8" t="s">
        <v>32</v>
      </c>
      <c r="F3" s="8" t="s">
        <v>33</v>
      </c>
      <c r="G3" s="8" t="s">
        <v>34</v>
      </c>
      <c r="H3" s="8" t="s">
        <v>35</v>
      </c>
    </row>
    <row r="4" spans="1:16" ht="276" customHeight="1" thickBot="1">
      <c r="A4" s="33">
        <v>1</v>
      </c>
      <c r="B4" s="34" t="s">
        <v>36</v>
      </c>
      <c r="C4" s="34" t="s">
        <v>106</v>
      </c>
      <c r="D4" s="34" t="s">
        <v>107</v>
      </c>
      <c r="E4" s="34" t="s">
        <v>108</v>
      </c>
      <c r="F4" s="34" t="s">
        <v>109</v>
      </c>
      <c r="G4" s="34" t="s">
        <v>147</v>
      </c>
      <c r="H4" s="5"/>
    </row>
    <row r="5" spans="1:16" ht="265.8" customHeight="1" thickBot="1">
      <c r="A5" s="33">
        <v>2</v>
      </c>
      <c r="B5" s="34" t="s">
        <v>36</v>
      </c>
      <c r="C5" s="34" t="s">
        <v>110</v>
      </c>
      <c r="D5" s="34" t="s">
        <v>111</v>
      </c>
      <c r="E5" s="34" t="s">
        <v>112</v>
      </c>
      <c r="F5" s="34" t="s">
        <v>113</v>
      </c>
      <c r="G5" s="34" t="s">
        <v>148</v>
      </c>
      <c r="H5" s="6"/>
    </row>
    <row r="6" spans="1:16" s="7" customFormat="1" ht="208.2" customHeight="1" thickBot="1">
      <c r="A6" s="33">
        <v>3</v>
      </c>
      <c r="B6" s="34" t="s">
        <v>114</v>
      </c>
      <c r="C6" s="34" t="s">
        <v>115</v>
      </c>
      <c r="D6" s="34" t="s">
        <v>116</v>
      </c>
      <c r="E6" s="34" t="s">
        <v>117</v>
      </c>
      <c r="F6" s="34" t="s">
        <v>118</v>
      </c>
      <c r="G6" s="34" t="s">
        <v>149</v>
      </c>
      <c r="H6" s="23"/>
      <c r="I6" s="24"/>
      <c r="J6" s="24"/>
      <c r="K6" s="24"/>
      <c r="L6" s="24"/>
      <c r="M6" s="24"/>
      <c r="N6" s="24"/>
      <c r="O6" s="24"/>
      <c r="P6" s="24"/>
    </row>
    <row r="7" spans="1:16" s="7" customFormat="1" ht="249.6" customHeight="1" thickBot="1">
      <c r="A7" s="33">
        <v>4</v>
      </c>
      <c r="B7" s="34" t="s">
        <v>114</v>
      </c>
      <c r="C7" s="34" t="s">
        <v>119</v>
      </c>
      <c r="D7" s="34" t="s">
        <v>120</v>
      </c>
      <c r="E7" s="34" t="s">
        <v>121</v>
      </c>
      <c r="F7" s="34" t="s">
        <v>122</v>
      </c>
      <c r="G7" s="34" t="s">
        <v>150</v>
      </c>
      <c r="H7" s="23"/>
      <c r="I7" s="24"/>
      <c r="J7" s="24"/>
      <c r="K7" s="24"/>
      <c r="L7" s="24"/>
      <c r="M7" s="24"/>
      <c r="N7" s="24"/>
      <c r="O7" s="24"/>
      <c r="P7" s="24"/>
    </row>
    <row r="8" spans="1:16" s="7" customFormat="1" ht="230.4" customHeight="1" thickBot="1">
      <c r="A8" s="33">
        <v>5</v>
      </c>
      <c r="B8" s="34" t="s">
        <v>37</v>
      </c>
      <c r="C8" s="34" t="s">
        <v>123</v>
      </c>
      <c r="D8" s="34" t="s">
        <v>124</v>
      </c>
      <c r="E8" s="34" t="s">
        <v>125</v>
      </c>
      <c r="F8" s="34" t="s">
        <v>126</v>
      </c>
      <c r="G8" s="34" t="s">
        <v>151</v>
      </c>
      <c r="H8" s="23"/>
      <c r="I8" s="24"/>
      <c r="J8" s="24"/>
      <c r="K8" s="24"/>
      <c r="L8" s="24"/>
      <c r="M8" s="24"/>
      <c r="N8" s="24"/>
      <c r="O8" s="24"/>
      <c r="P8" s="24"/>
    </row>
    <row r="9" spans="1:16" ht="265.8" customHeight="1" thickBot="1">
      <c r="A9" s="33">
        <v>6</v>
      </c>
      <c r="B9" s="34" t="s">
        <v>37</v>
      </c>
      <c r="C9" s="34" t="s">
        <v>127</v>
      </c>
      <c r="D9" s="34" t="s">
        <v>128</v>
      </c>
      <c r="E9" s="34" t="s">
        <v>129</v>
      </c>
      <c r="F9" s="34" t="s">
        <v>130</v>
      </c>
      <c r="G9" s="34" t="s">
        <v>152</v>
      </c>
      <c r="H9" s="23"/>
      <c r="I9" s="24"/>
      <c r="J9" s="24"/>
      <c r="K9" s="24"/>
      <c r="L9" s="24"/>
      <c r="M9" s="24"/>
      <c r="N9" s="24"/>
      <c r="O9" s="24"/>
      <c r="P9" s="24"/>
    </row>
    <row r="10" spans="1:16" ht="264" customHeight="1" thickBot="1">
      <c r="A10" s="33">
        <v>7</v>
      </c>
      <c r="B10" s="34" t="s">
        <v>114</v>
      </c>
      <c r="C10" s="34" t="s">
        <v>131</v>
      </c>
      <c r="D10" s="34" t="s">
        <v>132</v>
      </c>
      <c r="E10" s="34" t="s">
        <v>133</v>
      </c>
      <c r="F10" s="34" t="s">
        <v>134</v>
      </c>
      <c r="G10" s="34" t="s">
        <v>153</v>
      </c>
      <c r="H10" s="23"/>
      <c r="I10" s="24"/>
      <c r="J10" s="24"/>
      <c r="K10" s="24"/>
      <c r="L10" s="24"/>
      <c r="M10" s="24"/>
      <c r="N10" s="24"/>
      <c r="O10" s="24"/>
      <c r="P10" s="24"/>
    </row>
    <row r="11" spans="1:16" ht="97.2" thickBot="1">
      <c r="A11" s="33">
        <v>8</v>
      </c>
      <c r="B11" s="34" t="s">
        <v>36</v>
      </c>
      <c r="C11" s="34" t="s">
        <v>135</v>
      </c>
      <c r="D11" s="34" t="s">
        <v>136</v>
      </c>
      <c r="E11" s="34" t="s">
        <v>137</v>
      </c>
      <c r="F11" s="34" t="s">
        <v>138</v>
      </c>
      <c r="G11" s="34" t="s">
        <v>154</v>
      </c>
      <c r="H11" s="23"/>
      <c r="I11" s="24"/>
      <c r="J11" s="24"/>
      <c r="K11" s="24"/>
      <c r="L11" s="24"/>
      <c r="M11" s="24"/>
      <c r="N11" s="24"/>
      <c r="O11" s="24"/>
      <c r="P11" s="24"/>
    </row>
    <row r="12" spans="1:16" ht="158.4" customHeight="1" thickBot="1">
      <c r="A12" s="33">
        <v>9</v>
      </c>
      <c r="B12" s="34" t="s">
        <v>114</v>
      </c>
      <c r="C12" s="34" t="s">
        <v>139</v>
      </c>
      <c r="D12" s="34" t="s">
        <v>140</v>
      </c>
      <c r="E12" s="34" t="s">
        <v>141</v>
      </c>
      <c r="F12" s="34" t="s">
        <v>142</v>
      </c>
      <c r="G12" s="34" t="s">
        <v>155</v>
      </c>
      <c r="H12" s="23"/>
      <c r="I12" s="24"/>
      <c r="J12" s="24"/>
      <c r="K12" s="24"/>
      <c r="L12" s="24"/>
      <c r="M12" s="24"/>
      <c r="N12" s="24"/>
      <c r="O12" s="24"/>
      <c r="P12" s="24"/>
    </row>
    <row r="13" spans="1:16" ht="243" customHeight="1" thickBot="1">
      <c r="A13" s="33">
        <v>10</v>
      </c>
      <c r="B13" s="34" t="s">
        <v>114</v>
      </c>
      <c r="C13" s="34" t="s">
        <v>143</v>
      </c>
      <c r="D13" s="34" t="s">
        <v>144</v>
      </c>
      <c r="E13" s="34" t="s">
        <v>145</v>
      </c>
      <c r="F13" s="34" t="s">
        <v>146</v>
      </c>
      <c r="G13" s="34" t="s">
        <v>156</v>
      </c>
      <c r="H13" s="23"/>
      <c r="I13" s="24"/>
      <c r="J13" s="24"/>
      <c r="K13" s="24"/>
      <c r="L13" s="24"/>
      <c r="M13" s="24"/>
      <c r="N13" s="24"/>
      <c r="O13" s="24"/>
      <c r="P13" s="24"/>
    </row>
    <row r="14" spans="1:16" ht="295.2" customHeight="1" thickBot="1">
      <c r="A14" s="9"/>
      <c r="B14" s="23"/>
      <c r="C14" s="23"/>
      <c r="D14" s="23"/>
      <c r="E14" s="23"/>
      <c r="F14" s="23"/>
      <c r="G14" s="23"/>
      <c r="H14" s="23"/>
      <c r="I14" s="24"/>
      <c r="J14" s="24"/>
      <c r="K14" s="24"/>
      <c r="L14" s="24"/>
      <c r="M14" s="24"/>
      <c r="N14" s="24"/>
      <c r="O14" s="24"/>
      <c r="P14" s="24"/>
    </row>
    <row r="15" spans="1:16" ht="79.95" customHeight="1">
      <c r="A15" s="40"/>
      <c r="B15" s="43"/>
      <c r="C15" s="43"/>
      <c r="D15" s="43"/>
      <c r="E15" s="43"/>
      <c r="F15" s="43"/>
      <c r="G15" s="36"/>
      <c r="H15" s="3"/>
    </row>
    <row r="16" spans="1:16" ht="79.95" customHeight="1">
      <c r="A16" s="41"/>
      <c r="B16" s="44"/>
      <c r="C16" s="44"/>
      <c r="D16" s="44"/>
      <c r="E16" s="44"/>
      <c r="F16" s="44"/>
      <c r="G16" s="37"/>
      <c r="H16" s="3"/>
    </row>
    <row r="17" spans="1:8" ht="79.95" customHeight="1">
      <c r="A17" s="41"/>
      <c r="B17" s="44"/>
      <c r="C17" s="44"/>
      <c r="D17" s="44"/>
      <c r="E17" s="44"/>
      <c r="F17" s="44"/>
      <c r="G17" s="38"/>
      <c r="H17" s="3"/>
    </row>
    <row r="18" spans="1:8" ht="79.95" customHeight="1">
      <c r="A18" s="41"/>
      <c r="B18" s="44"/>
      <c r="C18" s="44"/>
      <c r="D18" s="44"/>
      <c r="E18" s="44"/>
      <c r="F18" s="44"/>
      <c r="G18" s="37"/>
      <c r="H18" s="3"/>
    </row>
    <row r="19" spans="1:8" ht="79.95" customHeight="1">
      <c r="A19" s="41"/>
      <c r="B19" s="44"/>
      <c r="C19" s="44"/>
      <c r="D19" s="44"/>
      <c r="E19" s="44"/>
      <c r="F19" s="44"/>
      <c r="G19" s="38"/>
      <c r="H19" s="3"/>
    </row>
    <row r="20" spans="1:8" ht="79.95" customHeight="1">
      <c r="A20" s="41"/>
      <c r="B20" s="44"/>
      <c r="C20" s="44"/>
      <c r="D20" s="44"/>
      <c r="E20" s="44"/>
      <c r="F20" s="44"/>
      <c r="G20" s="37"/>
      <c r="H20" s="3"/>
    </row>
    <row r="21" spans="1:8" ht="79.95" customHeight="1" thickBot="1">
      <c r="A21" s="42"/>
      <c r="B21" s="45"/>
      <c r="C21" s="45"/>
      <c r="D21" s="45"/>
      <c r="E21" s="45"/>
      <c r="F21" s="45"/>
      <c r="G21" s="39"/>
      <c r="H21" s="3"/>
    </row>
    <row r="22" spans="1:8" ht="79.95" customHeight="1">
      <c r="A22" s="40"/>
      <c r="B22" s="43"/>
      <c r="C22" s="43"/>
      <c r="D22" s="43"/>
      <c r="E22" s="43"/>
      <c r="F22" s="43"/>
      <c r="G22" s="36"/>
      <c r="H22" s="3"/>
    </row>
    <row r="23" spans="1:8" ht="79.95" customHeight="1">
      <c r="A23" s="41"/>
      <c r="B23" s="44"/>
      <c r="C23" s="44"/>
      <c r="D23" s="44"/>
      <c r="E23" s="44"/>
      <c r="F23" s="44"/>
      <c r="G23" s="37"/>
      <c r="H23" s="3"/>
    </row>
    <row r="24" spans="1:8" ht="79.95" customHeight="1">
      <c r="A24" s="41"/>
      <c r="B24" s="44"/>
      <c r="C24" s="44"/>
      <c r="D24" s="44"/>
      <c r="E24" s="44"/>
      <c r="F24" s="44"/>
      <c r="G24" s="38"/>
      <c r="H24" s="3"/>
    </row>
    <row r="25" spans="1:8">
      <c r="A25" s="41"/>
      <c r="B25" s="44"/>
      <c r="C25" s="44"/>
      <c r="D25" s="44"/>
      <c r="E25" s="44"/>
      <c r="F25" s="44"/>
      <c r="G25" s="37"/>
    </row>
    <row r="26" spans="1:8">
      <c r="A26" s="41"/>
      <c r="B26" s="44"/>
      <c r="C26" s="44"/>
      <c r="D26" s="44"/>
      <c r="E26" s="44"/>
      <c r="F26" s="44"/>
      <c r="G26" s="38"/>
    </row>
    <row r="27" spans="1:8">
      <c r="A27" s="41"/>
      <c r="B27" s="44"/>
      <c r="C27" s="44"/>
      <c r="D27" s="44"/>
      <c r="E27" s="44"/>
      <c r="F27" s="44"/>
      <c r="G27" s="37"/>
    </row>
    <row r="28" spans="1:8" ht="15" thickBot="1">
      <c r="A28" s="42"/>
      <c r="B28" s="45"/>
      <c r="C28" s="45"/>
      <c r="D28" s="45"/>
      <c r="E28" s="45"/>
      <c r="F28" s="45"/>
      <c r="G28" s="39"/>
    </row>
    <row r="29" spans="1:8">
      <c r="A29" s="40"/>
      <c r="B29" s="43"/>
      <c r="C29" s="43"/>
      <c r="D29" s="43"/>
      <c r="E29" s="43"/>
      <c r="F29" s="43"/>
      <c r="G29" s="36"/>
    </row>
    <row r="30" spans="1:8">
      <c r="A30" s="41"/>
      <c r="B30" s="44"/>
      <c r="C30" s="44"/>
      <c r="D30" s="44"/>
      <c r="E30" s="44"/>
      <c r="F30" s="44"/>
      <c r="G30" s="37"/>
    </row>
    <row r="31" spans="1:8">
      <c r="A31" s="41"/>
      <c r="B31" s="44"/>
      <c r="C31" s="44"/>
      <c r="D31" s="44"/>
      <c r="E31" s="44"/>
      <c r="F31" s="44"/>
      <c r="G31" s="38"/>
    </row>
    <row r="32" spans="1:8">
      <c r="A32" s="41"/>
      <c r="B32" s="44"/>
      <c r="C32" s="44"/>
      <c r="D32" s="44"/>
      <c r="E32" s="44"/>
      <c r="F32" s="44"/>
      <c r="G32" s="37"/>
    </row>
    <row r="33" spans="1:7">
      <c r="A33" s="41"/>
      <c r="B33" s="44"/>
      <c r="C33" s="44"/>
      <c r="D33" s="44"/>
      <c r="E33" s="44"/>
      <c r="F33" s="44"/>
      <c r="G33" s="38"/>
    </row>
    <row r="34" spans="1:7">
      <c r="A34" s="41"/>
      <c r="B34" s="44"/>
      <c r="C34" s="44"/>
      <c r="D34" s="44"/>
      <c r="E34" s="44"/>
      <c r="F34" s="44"/>
      <c r="G34" s="37"/>
    </row>
    <row r="35" spans="1:7" ht="15" thickBot="1">
      <c r="A35" s="42"/>
      <c r="B35" s="45"/>
      <c r="C35" s="45"/>
      <c r="D35" s="45"/>
      <c r="E35" s="45"/>
      <c r="F35" s="45"/>
      <c r="G35" s="39"/>
    </row>
    <row r="36" spans="1:7">
      <c r="A36" s="40"/>
      <c r="B36" s="43"/>
      <c r="C36" s="43"/>
      <c r="D36" s="43"/>
      <c r="E36" s="43"/>
      <c r="F36" s="43"/>
      <c r="G36" s="36"/>
    </row>
    <row r="37" spans="1:7">
      <c r="A37" s="41"/>
      <c r="B37" s="44"/>
      <c r="C37" s="44"/>
      <c r="D37" s="44"/>
      <c r="E37" s="44"/>
      <c r="F37" s="44"/>
      <c r="G37" s="37"/>
    </row>
    <row r="38" spans="1:7">
      <c r="A38" s="41"/>
      <c r="B38" s="44"/>
      <c r="C38" s="44"/>
      <c r="D38" s="44"/>
      <c r="E38" s="44"/>
      <c r="F38" s="44"/>
      <c r="G38" s="38"/>
    </row>
    <row r="39" spans="1:7">
      <c r="A39" s="41"/>
      <c r="B39" s="44"/>
      <c r="C39" s="44"/>
      <c r="D39" s="44"/>
      <c r="E39" s="44"/>
      <c r="F39" s="44"/>
      <c r="G39" s="37"/>
    </row>
    <row r="40" spans="1:7">
      <c r="A40" s="41"/>
      <c r="B40" s="44"/>
      <c r="C40" s="44"/>
      <c r="D40" s="44"/>
      <c r="E40" s="44"/>
      <c r="F40" s="44"/>
      <c r="G40" s="38"/>
    </row>
    <row r="41" spans="1:7">
      <c r="A41" s="41"/>
      <c r="B41" s="44"/>
      <c r="C41" s="44"/>
      <c r="D41" s="44"/>
      <c r="E41" s="44"/>
      <c r="F41" s="44"/>
      <c r="G41" s="37"/>
    </row>
    <row r="42" spans="1:7" ht="15" thickBot="1">
      <c r="A42" s="42"/>
      <c r="B42" s="45"/>
      <c r="C42" s="45"/>
      <c r="D42" s="45"/>
      <c r="E42" s="45"/>
      <c r="F42" s="45"/>
      <c r="G42" s="39"/>
    </row>
    <row r="43" spans="1:7">
      <c r="A43" s="40"/>
      <c r="B43" s="43"/>
      <c r="C43" s="43"/>
      <c r="D43" s="43"/>
      <c r="E43" s="43"/>
      <c r="F43" s="43"/>
      <c r="G43" s="36"/>
    </row>
    <row r="44" spans="1:7">
      <c r="A44" s="41"/>
      <c r="B44" s="44"/>
      <c r="C44" s="44"/>
      <c r="D44" s="44"/>
      <c r="E44" s="44"/>
      <c r="F44" s="44"/>
      <c r="G44" s="37"/>
    </row>
    <row r="45" spans="1:7">
      <c r="A45" s="41"/>
      <c r="B45" s="44"/>
      <c r="C45" s="44"/>
      <c r="D45" s="44"/>
      <c r="E45" s="44"/>
      <c r="F45" s="44"/>
      <c r="G45" s="38"/>
    </row>
    <row r="46" spans="1:7">
      <c r="A46" s="41"/>
      <c r="B46" s="44"/>
      <c r="C46" s="44"/>
      <c r="D46" s="44"/>
      <c r="E46" s="44"/>
      <c r="F46" s="44"/>
      <c r="G46" s="37"/>
    </row>
    <row r="47" spans="1:7">
      <c r="A47" s="41"/>
      <c r="B47" s="44"/>
      <c r="C47" s="44"/>
      <c r="D47" s="44"/>
      <c r="E47" s="44"/>
      <c r="F47" s="44"/>
      <c r="G47" s="38"/>
    </row>
    <row r="48" spans="1:7">
      <c r="A48" s="41"/>
      <c r="B48" s="44"/>
      <c r="C48" s="44"/>
      <c r="D48" s="44"/>
      <c r="E48" s="44"/>
      <c r="F48" s="44"/>
      <c r="G48" s="37"/>
    </row>
    <row r="49" spans="1:7" ht="15" thickBot="1">
      <c r="A49" s="42"/>
      <c r="B49" s="45"/>
      <c r="C49" s="45"/>
      <c r="D49" s="45"/>
      <c r="E49" s="45"/>
      <c r="F49" s="45"/>
      <c r="G49" s="39"/>
    </row>
    <row r="50" spans="1:7">
      <c r="A50" s="40"/>
      <c r="B50" s="43"/>
      <c r="C50" s="43"/>
      <c r="D50" s="43"/>
      <c r="E50" s="43"/>
      <c r="F50" s="43"/>
      <c r="G50" s="36"/>
    </row>
    <row r="51" spans="1:7">
      <c r="A51" s="41"/>
      <c r="B51" s="44"/>
      <c r="C51" s="44"/>
      <c r="D51" s="44"/>
      <c r="E51" s="44"/>
      <c r="F51" s="44"/>
      <c r="G51" s="37"/>
    </row>
    <row r="52" spans="1:7">
      <c r="A52" s="41"/>
      <c r="B52" s="44"/>
      <c r="C52" s="44"/>
      <c r="D52" s="44"/>
      <c r="E52" s="44"/>
      <c r="F52" s="44"/>
      <c r="G52" s="38"/>
    </row>
    <row r="53" spans="1:7">
      <c r="A53" s="41"/>
      <c r="B53" s="44"/>
      <c r="C53" s="44"/>
      <c r="D53" s="44"/>
      <c r="E53" s="44"/>
      <c r="F53" s="44"/>
      <c r="G53" s="37"/>
    </row>
    <row r="54" spans="1:7">
      <c r="A54" s="41"/>
      <c r="B54" s="44"/>
      <c r="C54" s="44"/>
      <c r="D54" s="44"/>
      <c r="E54" s="44"/>
      <c r="F54" s="44"/>
      <c r="G54" s="38"/>
    </row>
    <row r="55" spans="1:7">
      <c r="A55" s="41"/>
      <c r="B55" s="44"/>
      <c r="C55" s="44"/>
      <c r="D55" s="44"/>
      <c r="E55" s="44"/>
      <c r="F55" s="44"/>
      <c r="G55" s="37"/>
    </row>
    <row r="56" spans="1:7" ht="15" thickBot="1">
      <c r="A56" s="42"/>
      <c r="B56" s="45"/>
      <c r="C56" s="45"/>
      <c r="D56" s="45"/>
      <c r="E56" s="45"/>
      <c r="F56" s="45"/>
      <c r="G56" s="39"/>
    </row>
    <row r="57" spans="1:7">
      <c r="A57" s="40"/>
      <c r="B57" s="43"/>
      <c r="C57" s="43"/>
      <c r="D57" s="43"/>
      <c r="E57" s="43"/>
      <c r="F57" s="43"/>
      <c r="G57" s="36"/>
    </row>
    <row r="58" spans="1:7">
      <c r="A58" s="41"/>
      <c r="B58" s="44"/>
      <c r="C58" s="44"/>
      <c r="D58" s="44"/>
      <c r="E58" s="44"/>
      <c r="F58" s="44"/>
      <c r="G58" s="37"/>
    </row>
    <row r="59" spans="1:7">
      <c r="A59" s="41"/>
      <c r="B59" s="44"/>
      <c r="C59" s="44"/>
      <c r="D59" s="44"/>
      <c r="E59" s="44"/>
      <c r="F59" s="44"/>
      <c r="G59" s="38"/>
    </row>
    <row r="60" spans="1:7">
      <c r="A60" s="41"/>
      <c r="B60" s="44"/>
      <c r="C60" s="44"/>
      <c r="D60" s="44"/>
      <c r="E60" s="44"/>
      <c r="F60" s="44"/>
      <c r="G60" s="37"/>
    </row>
    <row r="61" spans="1:7">
      <c r="A61" s="41"/>
      <c r="B61" s="44"/>
      <c r="C61" s="44"/>
      <c r="D61" s="44"/>
      <c r="E61" s="44"/>
      <c r="F61" s="44"/>
      <c r="G61" s="38"/>
    </row>
    <row r="62" spans="1:7">
      <c r="A62" s="41"/>
      <c r="B62" s="44"/>
      <c r="C62" s="44"/>
      <c r="D62" s="44"/>
      <c r="E62" s="44"/>
      <c r="F62" s="44"/>
      <c r="G62" s="37"/>
    </row>
    <row r="63" spans="1:7" ht="15" thickBot="1">
      <c r="A63" s="42"/>
      <c r="B63" s="45"/>
      <c r="C63" s="45"/>
      <c r="D63" s="45"/>
      <c r="E63" s="45"/>
      <c r="F63" s="45"/>
      <c r="G63" s="39"/>
    </row>
    <row r="64" spans="1:7">
      <c r="A64" s="40"/>
      <c r="B64" s="43"/>
      <c r="C64" s="43"/>
      <c r="D64" s="43"/>
      <c r="E64" s="43"/>
      <c r="F64" s="43"/>
      <c r="G64" s="36"/>
    </row>
    <row r="65" spans="1:7">
      <c r="A65" s="41"/>
      <c r="B65" s="44"/>
      <c r="C65" s="44"/>
      <c r="D65" s="44"/>
      <c r="E65" s="44"/>
      <c r="F65" s="44"/>
      <c r="G65" s="37"/>
    </row>
    <row r="66" spans="1:7">
      <c r="A66" s="41"/>
      <c r="B66" s="44"/>
      <c r="C66" s="44"/>
      <c r="D66" s="44"/>
      <c r="E66" s="44"/>
      <c r="F66" s="44"/>
      <c r="G66" s="38"/>
    </row>
    <row r="67" spans="1:7">
      <c r="A67" s="41"/>
      <c r="B67" s="44"/>
      <c r="C67" s="44"/>
      <c r="D67" s="44"/>
      <c r="E67" s="44"/>
      <c r="F67" s="44"/>
      <c r="G67" s="37"/>
    </row>
    <row r="68" spans="1:7">
      <c r="A68" s="41"/>
      <c r="B68" s="44"/>
      <c r="C68" s="44"/>
      <c r="D68" s="44"/>
      <c r="E68" s="44"/>
      <c r="F68" s="44"/>
      <c r="G68" s="38"/>
    </row>
    <row r="69" spans="1:7">
      <c r="A69" s="41"/>
      <c r="B69" s="44"/>
      <c r="C69" s="44"/>
      <c r="D69" s="44"/>
      <c r="E69" s="44"/>
      <c r="F69" s="44"/>
      <c r="G69" s="37"/>
    </row>
    <row r="70" spans="1:7" ht="15" thickBot="1">
      <c r="A70" s="42"/>
      <c r="B70" s="45"/>
      <c r="C70" s="45"/>
      <c r="D70" s="45"/>
      <c r="E70" s="45"/>
      <c r="F70" s="45"/>
      <c r="G70" s="39"/>
    </row>
    <row r="71" spans="1:7">
      <c r="A71" s="40"/>
      <c r="B71" s="43"/>
      <c r="C71" s="43"/>
      <c r="D71" s="43"/>
      <c r="E71" s="43"/>
      <c r="F71" s="43"/>
      <c r="G71" s="36"/>
    </row>
    <row r="72" spans="1:7">
      <c r="A72" s="41"/>
      <c r="B72" s="44"/>
      <c r="C72" s="44"/>
      <c r="D72" s="44"/>
      <c r="E72" s="44"/>
      <c r="F72" s="44"/>
      <c r="G72" s="37"/>
    </row>
    <row r="73" spans="1:7">
      <c r="A73" s="41"/>
      <c r="B73" s="44"/>
      <c r="C73" s="44"/>
      <c r="D73" s="44"/>
      <c r="E73" s="44"/>
      <c r="F73" s="44"/>
      <c r="G73" s="38"/>
    </row>
    <row r="74" spans="1:7">
      <c r="A74" s="41"/>
      <c r="B74" s="44"/>
      <c r="C74" s="44"/>
      <c r="D74" s="44"/>
      <c r="E74" s="44"/>
      <c r="F74" s="44"/>
      <c r="G74" s="37"/>
    </row>
    <row r="75" spans="1:7">
      <c r="A75" s="41"/>
      <c r="B75" s="44"/>
      <c r="C75" s="44"/>
      <c r="D75" s="44"/>
      <c r="E75" s="44"/>
      <c r="F75" s="44"/>
      <c r="G75" s="38"/>
    </row>
    <row r="76" spans="1:7">
      <c r="A76" s="41"/>
      <c r="B76" s="44"/>
      <c r="C76" s="44"/>
      <c r="D76" s="44"/>
      <c r="E76" s="44"/>
      <c r="F76" s="44"/>
      <c r="G76" s="37"/>
    </row>
    <row r="77" spans="1:7" ht="15" thickBot="1">
      <c r="A77" s="42"/>
      <c r="B77" s="45"/>
      <c r="C77" s="45"/>
      <c r="D77" s="45"/>
      <c r="E77" s="45"/>
      <c r="F77" s="45"/>
      <c r="G77" s="39"/>
    </row>
    <row r="78" spans="1:7">
      <c r="A78" s="40"/>
      <c r="B78" s="43"/>
      <c r="C78" s="43"/>
      <c r="D78" s="43"/>
      <c r="E78" s="43"/>
      <c r="F78" s="43"/>
      <c r="G78" s="36"/>
    </row>
    <row r="79" spans="1:7">
      <c r="A79" s="41"/>
      <c r="B79" s="44"/>
      <c r="C79" s="44"/>
      <c r="D79" s="44"/>
      <c r="E79" s="44"/>
      <c r="F79" s="44"/>
      <c r="G79" s="37"/>
    </row>
    <row r="80" spans="1:7">
      <c r="A80" s="41"/>
      <c r="B80" s="44"/>
      <c r="C80" s="44"/>
      <c r="D80" s="44"/>
      <c r="E80" s="44"/>
      <c r="F80" s="44"/>
      <c r="G80" s="38"/>
    </row>
    <row r="81" spans="1:7">
      <c r="A81" s="41"/>
      <c r="B81" s="44"/>
      <c r="C81" s="44"/>
      <c r="D81" s="44"/>
      <c r="E81" s="44"/>
      <c r="F81" s="44"/>
      <c r="G81" s="37"/>
    </row>
    <row r="82" spans="1:7">
      <c r="A82" s="41"/>
      <c r="B82" s="44"/>
      <c r="C82" s="44"/>
      <c r="D82" s="44"/>
      <c r="E82" s="44"/>
      <c r="F82" s="44"/>
      <c r="G82" s="38"/>
    </row>
    <row r="83" spans="1:7">
      <c r="A83" s="41"/>
      <c r="B83" s="44"/>
      <c r="C83" s="44"/>
      <c r="D83" s="44"/>
      <c r="E83" s="44"/>
      <c r="F83" s="44"/>
      <c r="G83" s="37"/>
    </row>
    <row r="84" spans="1:7" ht="15" thickBot="1">
      <c r="A84" s="42"/>
      <c r="B84" s="45"/>
      <c r="C84" s="45"/>
      <c r="D84" s="45"/>
      <c r="E84" s="45"/>
      <c r="F84" s="45"/>
      <c r="G84" s="39"/>
    </row>
  </sheetData>
  <mergeCells count="62">
    <mergeCell ref="F78:F84"/>
    <mergeCell ref="A78:A84"/>
    <mergeCell ref="B78:B84"/>
    <mergeCell ref="C78:C84"/>
    <mergeCell ref="D78:D84"/>
    <mergeCell ref="E78:E84"/>
    <mergeCell ref="F64:F70"/>
    <mergeCell ref="A71:A77"/>
    <mergeCell ref="B71:B77"/>
    <mergeCell ref="C71:C77"/>
    <mergeCell ref="D71:D77"/>
    <mergeCell ref="E71:E77"/>
    <mergeCell ref="F71:F77"/>
    <mergeCell ref="A64:A70"/>
    <mergeCell ref="B64:B70"/>
    <mergeCell ref="C64:C70"/>
    <mergeCell ref="D64:D70"/>
    <mergeCell ref="E64:E70"/>
    <mergeCell ref="F50:F56"/>
    <mergeCell ref="A57:A63"/>
    <mergeCell ref="B57:B63"/>
    <mergeCell ref="C57:C63"/>
    <mergeCell ref="D57:D63"/>
    <mergeCell ref="E57:E63"/>
    <mergeCell ref="F57:F63"/>
    <mergeCell ref="A50:A56"/>
    <mergeCell ref="B50:B56"/>
    <mergeCell ref="C50:C56"/>
    <mergeCell ref="D50:D56"/>
    <mergeCell ref="E50:E56"/>
    <mergeCell ref="F36:F42"/>
    <mergeCell ref="A43:A49"/>
    <mergeCell ref="B43:B49"/>
    <mergeCell ref="C43:C49"/>
    <mergeCell ref="D43:D49"/>
    <mergeCell ref="E43:E49"/>
    <mergeCell ref="F43:F49"/>
    <mergeCell ref="A36:A42"/>
    <mergeCell ref="B36:B42"/>
    <mergeCell ref="C36:C42"/>
    <mergeCell ref="D36:D42"/>
    <mergeCell ref="E36:E42"/>
    <mergeCell ref="F22:F28"/>
    <mergeCell ref="A29:A35"/>
    <mergeCell ref="B29:B35"/>
    <mergeCell ref="C29:C35"/>
    <mergeCell ref="D29:D35"/>
    <mergeCell ref="E29:E35"/>
    <mergeCell ref="F29:F35"/>
    <mergeCell ref="A22:A28"/>
    <mergeCell ref="B22:B28"/>
    <mergeCell ref="C22:C28"/>
    <mergeCell ref="D22:D28"/>
    <mergeCell ref="E22:E28"/>
    <mergeCell ref="A2:H2"/>
    <mergeCell ref="A1:H1"/>
    <mergeCell ref="A15:A21"/>
    <mergeCell ref="B15:B21"/>
    <mergeCell ref="C15:C21"/>
    <mergeCell ref="D15:D21"/>
    <mergeCell ref="E15:E21"/>
    <mergeCell ref="F15:F21"/>
  </mergeCells>
  <phoneticPr fontId="16"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85" zoomScaleNormal="85" workbookViewId="0">
      <selection activeCell="G4" sqref="G4"/>
    </sheetView>
  </sheetViews>
  <sheetFormatPr defaultRowHeight="14.4"/>
  <cols>
    <col min="1" max="1" width="12" customWidth="1"/>
    <col min="2" max="2" width="22" customWidth="1"/>
    <col min="3" max="6" width="30" customWidth="1"/>
  </cols>
  <sheetData>
    <row r="1" spans="1:6">
      <c r="A1" s="31" t="s">
        <v>38</v>
      </c>
      <c r="B1" s="30"/>
      <c r="C1" s="30"/>
      <c r="D1" s="30"/>
      <c r="E1" s="30"/>
      <c r="F1" s="30"/>
    </row>
    <row r="2" spans="1:6">
      <c r="A2" s="29" t="s">
        <v>39</v>
      </c>
      <c r="B2" s="30"/>
      <c r="C2" s="30"/>
      <c r="D2" s="30"/>
      <c r="E2" s="30"/>
      <c r="F2" s="30"/>
    </row>
    <row r="3" spans="1:6" ht="40.049999999999997" customHeight="1" thickBot="1">
      <c r="A3" s="2" t="s">
        <v>40</v>
      </c>
      <c r="B3" s="2" t="s">
        <v>41</v>
      </c>
      <c r="C3" s="2" t="s">
        <v>42</v>
      </c>
      <c r="D3" s="2" t="s">
        <v>43</v>
      </c>
      <c r="E3" s="2" t="s">
        <v>44</v>
      </c>
      <c r="F3" s="2" t="s">
        <v>45</v>
      </c>
    </row>
    <row r="4" spans="1:6" ht="172.8" customHeight="1" thickBot="1">
      <c r="A4" s="33">
        <v>4</v>
      </c>
      <c r="B4" s="33" t="s">
        <v>62</v>
      </c>
      <c r="C4" s="34" t="s">
        <v>157</v>
      </c>
      <c r="D4" s="34" t="s">
        <v>158</v>
      </c>
      <c r="E4" s="34" t="s">
        <v>159</v>
      </c>
      <c r="F4" s="34" t="s">
        <v>160</v>
      </c>
    </row>
    <row r="5" spans="1:6" ht="83.4" thickBot="1">
      <c r="A5" s="33">
        <v>6</v>
      </c>
      <c r="B5" s="33" t="s">
        <v>161</v>
      </c>
      <c r="C5" s="34" t="s">
        <v>162</v>
      </c>
      <c r="D5" s="34" t="s">
        <v>163</v>
      </c>
      <c r="E5" s="34" t="s">
        <v>164</v>
      </c>
      <c r="F5" s="34" t="s">
        <v>165</v>
      </c>
    </row>
    <row r="6" spans="1:6" ht="174.6" customHeight="1" thickBot="1">
      <c r="A6" s="33">
        <v>9</v>
      </c>
      <c r="B6" s="33" t="s">
        <v>166</v>
      </c>
      <c r="C6" s="34" t="s">
        <v>167</v>
      </c>
      <c r="D6" s="34" t="s">
        <v>168</v>
      </c>
      <c r="E6" s="34" t="s">
        <v>169</v>
      </c>
      <c r="F6" s="34" t="s">
        <v>170</v>
      </c>
    </row>
    <row r="7" spans="1:6" ht="184.2" customHeight="1" thickBot="1">
      <c r="A7" s="33">
        <v>10</v>
      </c>
      <c r="B7" s="33" t="s">
        <v>171</v>
      </c>
      <c r="C7" s="34" t="s">
        <v>172</v>
      </c>
      <c r="D7" s="34" t="s">
        <v>173</v>
      </c>
      <c r="E7" s="34" t="s">
        <v>174</v>
      </c>
      <c r="F7" s="34" t="s">
        <v>175</v>
      </c>
    </row>
    <row r="8" spans="1:6" ht="60" customHeight="1">
      <c r="A8" s="3"/>
      <c r="B8" s="3"/>
      <c r="C8" s="3"/>
      <c r="D8" s="3"/>
      <c r="E8" s="3"/>
      <c r="F8" s="3"/>
    </row>
    <row r="9" spans="1:6" ht="60" customHeight="1">
      <c r="A9" s="3"/>
      <c r="B9" s="3"/>
      <c r="C9" s="3"/>
      <c r="D9" s="3"/>
      <c r="E9" s="3"/>
      <c r="F9" s="3"/>
    </row>
    <row r="10" spans="1:6" ht="60" customHeight="1">
      <c r="A10" s="3"/>
      <c r="B10" s="3"/>
      <c r="C10" s="3"/>
      <c r="D10" s="3"/>
      <c r="E10" s="3"/>
      <c r="F10" s="3"/>
    </row>
    <row r="11" spans="1:6" ht="60" customHeight="1">
      <c r="A11" s="3"/>
      <c r="B11" s="3"/>
      <c r="C11" s="3"/>
      <c r="D11" s="3"/>
      <c r="E11" s="3"/>
      <c r="F11" s="3"/>
    </row>
    <row r="12" spans="1:6" ht="60" customHeight="1">
      <c r="A12" s="3"/>
      <c r="B12" s="3"/>
      <c r="C12" s="3"/>
      <c r="D12" s="3"/>
      <c r="E12" s="3"/>
      <c r="F12" s="3"/>
    </row>
    <row r="13" spans="1:6" ht="60" customHeight="1">
      <c r="A13" s="3"/>
      <c r="B13" s="3"/>
      <c r="C13" s="3"/>
      <c r="D13" s="3"/>
      <c r="E13" s="3"/>
      <c r="F13" s="3"/>
    </row>
    <row r="14" spans="1:6" ht="60" customHeight="1">
      <c r="A14" s="3"/>
      <c r="B14" s="3"/>
      <c r="C14" s="3"/>
      <c r="D14" s="3"/>
      <c r="E14" s="3"/>
      <c r="F14" s="3"/>
    </row>
    <row r="15" spans="1:6" ht="60" customHeight="1">
      <c r="A15" s="3"/>
      <c r="B15" s="3"/>
      <c r="C15" s="3"/>
      <c r="D15" s="3"/>
      <c r="E15" s="3"/>
      <c r="F15" s="3"/>
    </row>
    <row r="16" spans="1:6" ht="60" customHeight="1">
      <c r="A16" s="3"/>
      <c r="B16" s="3"/>
      <c r="C16" s="3"/>
      <c r="D16" s="3"/>
      <c r="E16" s="3"/>
      <c r="F16" s="3"/>
    </row>
    <row r="17" spans="1:6" ht="60" customHeight="1">
      <c r="A17" s="3"/>
      <c r="B17" s="3"/>
      <c r="C17" s="3"/>
      <c r="D17" s="3"/>
      <c r="E17" s="3"/>
      <c r="F17" s="3"/>
    </row>
    <row r="18" spans="1:6" ht="60" customHeight="1">
      <c r="A18" s="3"/>
      <c r="B18" s="3"/>
      <c r="C18" s="3"/>
      <c r="D18" s="3"/>
      <c r="E18" s="3"/>
      <c r="F18" s="3"/>
    </row>
    <row r="19" spans="1:6" ht="60" customHeight="1">
      <c r="A19" s="3"/>
      <c r="B19" s="3"/>
      <c r="C19" s="3"/>
      <c r="D19" s="3"/>
      <c r="E19" s="3"/>
      <c r="F19" s="3"/>
    </row>
    <row r="20" spans="1:6" ht="60" customHeight="1">
      <c r="A20" s="3"/>
      <c r="B20" s="3"/>
      <c r="C20" s="3"/>
      <c r="D20" s="3"/>
      <c r="E20" s="3"/>
      <c r="F20" s="3"/>
    </row>
    <row r="21" spans="1:6" ht="60" customHeight="1">
      <c r="A21" s="3"/>
      <c r="B21" s="3"/>
      <c r="C21" s="3"/>
      <c r="D21" s="3"/>
      <c r="E21" s="3"/>
      <c r="F21" s="3"/>
    </row>
    <row r="22" spans="1:6" ht="60" customHeight="1">
      <c r="A22" s="3"/>
      <c r="B22" s="3"/>
      <c r="C22" s="3"/>
      <c r="D22" s="3"/>
      <c r="E22" s="3"/>
      <c r="F22" s="3"/>
    </row>
    <row r="23" spans="1:6" ht="60" customHeight="1">
      <c r="A23" s="3"/>
      <c r="B23" s="3"/>
      <c r="C23" s="3"/>
      <c r="D23" s="3"/>
      <c r="E23" s="3"/>
      <c r="F23" s="3"/>
    </row>
    <row r="24" spans="1:6" ht="60" customHeight="1">
      <c r="A24" s="3"/>
      <c r="B24" s="3"/>
      <c r="C24" s="3"/>
      <c r="D24" s="3"/>
      <c r="E24" s="3"/>
      <c r="F24" s="3"/>
    </row>
    <row r="30" spans="1:6" ht="18">
      <c r="A30" s="1" t="s">
        <v>47</v>
      </c>
    </row>
    <row r="31" spans="1:6">
      <c r="A31" s="4" t="s">
        <v>48</v>
      </c>
      <c r="B31" s="4" t="s">
        <v>49</v>
      </c>
      <c r="C31" s="4" t="s">
        <v>50</v>
      </c>
    </row>
    <row r="32" spans="1:6" ht="28.8">
      <c r="A32" s="3" t="s">
        <v>46</v>
      </c>
      <c r="B32" s="3" t="s">
        <v>51</v>
      </c>
      <c r="C32" s="3" t="s">
        <v>52</v>
      </c>
    </row>
    <row r="33" spans="1:3" ht="28.8">
      <c r="A33" s="3" t="s">
        <v>53</v>
      </c>
      <c r="B33" s="3" t="s">
        <v>54</v>
      </c>
      <c r="C33" s="3" t="s">
        <v>55</v>
      </c>
    </row>
    <row r="34" spans="1:3" ht="28.8">
      <c r="A34" s="3" t="s">
        <v>56</v>
      </c>
      <c r="B34" s="3" t="s">
        <v>57</v>
      </c>
      <c r="C34" s="3" t="s">
        <v>58</v>
      </c>
    </row>
    <row r="35" spans="1:3" ht="28.8">
      <c r="A35" s="3" t="s">
        <v>59</v>
      </c>
      <c r="B35" s="3" t="s">
        <v>60</v>
      </c>
      <c r="C35" s="3" t="s">
        <v>61</v>
      </c>
    </row>
    <row r="36" spans="1:3" ht="43.2">
      <c r="A36" s="3" t="s">
        <v>62</v>
      </c>
      <c r="B36" s="3" t="s">
        <v>63</v>
      </c>
      <c r="C36" s="3" t="s">
        <v>64</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6"/>
  <sheetViews>
    <sheetView workbookViewId="0">
      <selection activeCell="I29" sqref="I29"/>
    </sheetView>
  </sheetViews>
  <sheetFormatPr defaultColWidth="8.77734375" defaultRowHeight="13.8"/>
  <cols>
    <col min="1" max="1" width="8" style="7" customWidth="1"/>
    <col min="2" max="2" width="60" style="7" customWidth="1"/>
    <col min="3" max="3" width="26.44140625" style="7" customWidth="1"/>
    <col min="4" max="4" width="30" style="7" customWidth="1"/>
    <col min="5" max="16384" width="8.77734375" style="7"/>
  </cols>
  <sheetData>
    <row r="1" spans="1:4">
      <c r="A1" s="26" t="s">
        <v>65</v>
      </c>
      <c r="B1" s="27"/>
      <c r="C1" s="27"/>
      <c r="D1" s="27"/>
    </row>
    <row r="2" spans="1:4">
      <c r="A2" s="32" t="s">
        <v>66</v>
      </c>
      <c r="B2" s="27"/>
      <c r="C2" s="27"/>
      <c r="D2" s="27"/>
    </row>
    <row r="4" spans="1:4" ht="17.399999999999999">
      <c r="A4" s="11" t="s">
        <v>67</v>
      </c>
    </row>
    <row r="5" spans="1:4" ht="14.4" thickBot="1">
      <c r="A5" s="8" t="s">
        <v>68</v>
      </c>
      <c r="B5" s="17" t="s">
        <v>69</v>
      </c>
      <c r="C5" s="8" t="s">
        <v>70</v>
      </c>
      <c r="D5" s="17" t="s">
        <v>71</v>
      </c>
    </row>
    <row r="6" spans="1:4" ht="46.2" thickBot="1">
      <c r="A6" s="46">
        <v>1</v>
      </c>
      <c r="B6" s="47" t="s">
        <v>72</v>
      </c>
      <c r="C6" s="47" t="s">
        <v>180</v>
      </c>
      <c r="D6" s="47" t="s">
        <v>176</v>
      </c>
    </row>
    <row r="7" spans="1:4" ht="46.2" thickBot="1">
      <c r="A7" s="46">
        <v>2</v>
      </c>
      <c r="B7" s="47" t="s">
        <v>73</v>
      </c>
      <c r="C7" s="47" t="s">
        <v>180</v>
      </c>
      <c r="D7" s="47" t="s">
        <v>177</v>
      </c>
    </row>
    <row r="8" spans="1:4" ht="57.6" thickBot="1">
      <c r="A8" s="46">
        <v>3</v>
      </c>
      <c r="B8" s="47" t="s">
        <v>74</v>
      </c>
      <c r="C8" s="47" t="s">
        <v>180</v>
      </c>
      <c r="D8" s="47" t="s">
        <v>181</v>
      </c>
    </row>
    <row r="9" spans="1:4" ht="57.6" thickBot="1">
      <c r="A9" s="46">
        <v>4</v>
      </c>
      <c r="B9" s="47" t="s">
        <v>75</v>
      </c>
      <c r="C9" s="47" t="s">
        <v>180</v>
      </c>
      <c r="D9" s="47" t="s">
        <v>178</v>
      </c>
    </row>
    <row r="10" spans="1:4" ht="46.2" thickBot="1">
      <c r="A10" s="46">
        <v>5</v>
      </c>
      <c r="B10" s="47" t="s">
        <v>76</v>
      </c>
      <c r="C10" s="47" t="s">
        <v>180</v>
      </c>
      <c r="D10" s="47" t="s">
        <v>179</v>
      </c>
    </row>
    <row r="12" spans="1:4" ht="17.399999999999999">
      <c r="A12" s="11" t="s">
        <v>77</v>
      </c>
    </row>
    <row r="13" spans="1:4" ht="14.4" thickBot="1">
      <c r="A13" s="8" t="s">
        <v>68</v>
      </c>
      <c r="B13" s="17" t="s">
        <v>69</v>
      </c>
      <c r="C13" s="8" t="s">
        <v>70</v>
      </c>
      <c r="D13" s="17" t="s">
        <v>78</v>
      </c>
    </row>
    <row r="14" spans="1:4" ht="14.4" thickBot="1">
      <c r="A14" s="33">
        <v>1</v>
      </c>
      <c r="B14" s="34" t="s">
        <v>79</v>
      </c>
      <c r="C14" s="34" t="s">
        <v>180</v>
      </c>
      <c r="D14" s="33" t="s">
        <v>182</v>
      </c>
    </row>
    <row r="15" spans="1:4" ht="14.4" thickBot="1">
      <c r="A15" s="33">
        <v>2</v>
      </c>
      <c r="B15" s="34" t="s">
        <v>80</v>
      </c>
      <c r="C15" s="34" t="s">
        <v>180</v>
      </c>
      <c r="D15" s="33" t="s">
        <v>183</v>
      </c>
    </row>
    <row r="16" spans="1:4" ht="14.4" thickBot="1">
      <c r="A16" s="33">
        <v>3</v>
      </c>
      <c r="B16" s="34" t="s">
        <v>81</v>
      </c>
      <c r="C16" s="34" t="s">
        <v>180</v>
      </c>
      <c r="D16" s="33" t="s">
        <v>184</v>
      </c>
    </row>
    <row r="17" spans="1:5" ht="14.4" thickBot="1">
      <c r="A17" s="33">
        <v>4</v>
      </c>
      <c r="B17" s="34" t="s">
        <v>82</v>
      </c>
      <c r="C17" s="34" t="s">
        <v>180</v>
      </c>
      <c r="D17" s="33" t="s">
        <v>185</v>
      </c>
    </row>
    <row r="18" spans="1:5" ht="14.4" thickBot="1">
      <c r="A18" s="33">
        <v>5</v>
      </c>
      <c r="B18" s="34" t="s">
        <v>187</v>
      </c>
      <c r="C18" s="34" t="s">
        <v>180</v>
      </c>
      <c r="D18" s="33" t="s">
        <v>186</v>
      </c>
    </row>
    <row r="20" spans="1:5" ht="15.6">
      <c r="A20" s="18" t="s">
        <v>83</v>
      </c>
    </row>
    <row r="21" spans="1:5">
      <c r="A21" s="19" t="s">
        <v>84</v>
      </c>
    </row>
    <row r="22" spans="1:5">
      <c r="A22" s="19" t="s">
        <v>85</v>
      </c>
    </row>
    <row r="25" spans="1:5" ht="17.399999999999999">
      <c r="A25" s="11" t="s">
        <v>86</v>
      </c>
    </row>
    <row r="26" spans="1:5">
      <c r="A26" s="20" t="s">
        <v>87</v>
      </c>
    </row>
    <row r="27" spans="1:5" ht="14.4" thickBot="1">
      <c r="A27" s="21" t="s">
        <v>28</v>
      </c>
      <c r="B27" s="22" t="s">
        <v>88</v>
      </c>
      <c r="C27" s="22" t="s">
        <v>89</v>
      </c>
      <c r="D27" s="22" t="s">
        <v>90</v>
      </c>
    </row>
    <row r="28" spans="1:5" ht="69.599999999999994" thickBot="1">
      <c r="A28" s="33">
        <v>1</v>
      </c>
      <c r="B28" s="34" t="s">
        <v>188</v>
      </c>
      <c r="C28" s="34" t="s">
        <v>189</v>
      </c>
      <c r="D28" s="34" t="s">
        <v>190</v>
      </c>
      <c r="E28" s="25"/>
    </row>
    <row r="29" spans="1:5" ht="69.599999999999994" thickBot="1">
      <c r="A29" s="33">
        <v>2</v>
      </c>
      <c r="B29" s="34" t="s">
        <v>191</v>
      </c>
      <c r="C29" s="34" t="s">
        <v>192</v>
      </c>
      <c r="D29" s="34" t="s">
        <v>193</v>
      </c>
      <c r="E29" s="25"/>
    </row>
    <row r="30" spans="1:5" ht="55.8" thickBot="1">
      <c r="A30" s="33">
        <v>3</v>
      </c>
      <c r="B30" s="34" t="s">
        <v>194</v>
      </c>
      <c r="C30" s="34" t="s">
        <v>195</v>
      </c>
      <c r="D30" s="34" t="s">
        <v>196</v>
      </c>
      <c r="E30" s="25"/>
    </row>
    <row r="31" spans="1:5" ht="55.8" thickBot="1">
      <c r="A31" s="33">
        <v>4</v>
      </c>
      <c r="B31" s="34" t="s">
        <v>197</v>
      </c>
      <c r="C31" s="34" t="s">
        <v>198</v>
      </c>
      <c r="D31" s="34" t="s">
        <v>199</v>
      </c>
      <c r="E31" s="25"/>
    </row>
    <row r="32" spans="1:5" ht="69.599999999999994" thickBot="1">
      <c r="A32" s="33">
        <v>5</v>
      </c>
      <c r="B32" s="34" t="s">
        <v>200</v>
      </c>
      <c r="C32" s="34" t="s">
        <v>201</v>
      </c>
      <c r="D32" s="34" t="s">
        <v>202</v>
      </c>
      <c r="E32" s="25"/>
    </row>
    <row r="33" spans="1:5" ht="55.8" thickBot="1">
      <c r="A33" s="33">
        <v>6</v>
      </c>
      <c r="B33" s="34" t="s">
        <v>203</v>
      </c>
      <c r="C33" s="34" t="s">
        <v>204</v>
      </c>
      <c r="D33" s="34" t="s">
        <v>205</v>
      </c>
      <c r="E33" s="25"/>
    </row>
    <row r="34" spans="1:5" ht="55.8" thickBot="1">
      <c r="A34" s="33">
        <v>7</v>
      </c>
      <c r="B34" s="34" t="s">
        <v>206</v>
      </c>
      <c r="C34" s="34" t="s">
        <v>207</v>
      </c>
      <c r="D34" s="34" t="s">
        <v>208</v>
      </c>
      <c r="E34" s="25"/>
    </row>
    <row r="35" spans="1:5" ht="55.8" thickBot="1">
      <c r="A35" s="33">
        <v>8</v>
      </c>
      <c r="B35" s="34" t="s">
        <v>209</v>
      </c>
      <c r="C35" s="34" t="s">
        <v>210</v>
      </c>
      <c r="D35" s="34" t="s">
        <v>211</v>
      </c>
      <c r="E35" s="25"/>
    </row>
    <row r="36" spans="1:5" ht="55.8" thickBot="1">
      <c r="A36" s="33">
        <v>9</v>
      </c>
      <c r="B36" s="34" t="s">
        <v>212</v>
      </c>
      <c r="C36" s="34" t="s">
        <v>213</v>
      </c>
      <c r="D36" s="34" t="s">
        <v>214</v>
      </c>
      <c r="E36" s="25"/>
    </row>
  </sheetData>
  <mergeCells count="2">
    <mergeCell ref="A1:D1"/>
    <mergeCell ref="A2:D2"/>
  </mergeCells>
  <phoneticPr fontId="1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thai</cp:lastModifiedBy>
  <dcterms:created xsi:type="dcterms:W3CDTF">2026-05-07T22:28:42Z</dcterms:created>
  <dcterms:modified xsi:type="dcterms:W3CDTF">2026-07-21T14:21:25Z</dcterms:modified>
</cp:coreProperties>
</file>