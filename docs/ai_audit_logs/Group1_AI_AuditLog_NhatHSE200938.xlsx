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E3BADBF3-E429-460C-BAC5-E852354D09EB}"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workbook>
</file>

<file path=xl/calcChain.xml><?xml version="1.0" encoding="utf-8"?>
<calcChain xmlns="http://schemas.openxmlformats.org/spreadsheetml/2006/main">
  <c r="C12" i="1" l="1"/>
</calcChain>
</file>

<file path=xl/sharedStrings.xml><?xml version="1.0" encoding="utf-8"?>
<sst xmlns="http://schemas.openxmlformats.org/spreadsheetml/2006/main" count="296" uniqueCount="234">
  <si>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</si>
  <si>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</si>
  <si>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</si>
  <si>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</si>
  <si>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</si>
  <si>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</si>
  <si>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</si>
  <si>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</si>
  <si>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</si>
  <si>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</si>
  <si>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</si>
  <si>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</si>
  <si>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</si>
  <si>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</si>
  <si>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</si>
  <si>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</si>
  <si>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</si>
  <si>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</si>
  <si>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</si>
  <si>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</si>
  <si>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</si>
  <si>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</si>
  <si>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</si>
  <si>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</si>
  <si>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</si>
  <si>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</si>
  <si>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</si>
  <si>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</si>
  <si>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</si>
  <si>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</si>
  <si>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</si>
  <si>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</si>
  <si>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</si>
  <si>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</si>
  <si>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</si>
  <si>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</si>
  <si>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</si>
  <si>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</si>
  <si>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</si>
  <si>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</si>
  <si>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</si>
  <si>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</si>
  <si>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</si>
  <si>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</si>
  <si>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</si>
  <si>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</si>
  <si>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</si>
  <si>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</si>
  <si>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</si>
  <si>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</si>
  <si>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</si>
  <si>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</si>
  <si>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</si>
  <si>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</si>
  <si>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</si>
  <si>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</si>
  <si>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</si>
  <si>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</si>
  <si>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</si>
  <si>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</si>
  <si>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</si>
  <si>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</si>
  <si>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</si>
  <si>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</si>
  <si>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</si>
  <si>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</si>
  <si>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</si>
  <si>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</si>
  <si>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</si>
  <si>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</si>
  <si>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</si>
  <si>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</si>
  <si>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</si>
  <si>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</si>
  <si>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</si>
  <si>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</si>
  <si>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</si>
  <si>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</si>
  <si>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</si>
  <si>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</si>
  <si>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</si>
  <si>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</si>
  <si>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</si>
  <si>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</si>
  <si>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</si>
  <si>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</si>
  <si>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</si>
  <si>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</si>
  <si>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</si>
  <si>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</si>
  <si>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</si>
  <si>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</si>
  <si>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</si>
  <si>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</si>
  <si>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</si>
  <si>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</si>
  <si>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</si>
  <si>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</si>
  <si>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</si>
  <si>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</si>
  <si>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</si>
  <si>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</si>
  <si>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</si>
  <si>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</si>
  <si>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</si>
  <si>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</si>
  <si>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Huỳnh Nhật</t>
  </si>
  <si>
    <t>SE200938</t>
  </si>
  <si>
    <t>IOT102</t>
  </si>
  <si>
    <t>Weather Station Monitoring System</t>
  </si>
  <si>
    <t>Consulting on hardware architecture, decomposing firmware functionality, optimizing LoRa P2P communication, designing edge computing algorithms (OLS linear regression, hybrid rain probability correction), and writing Python machine learning scripts (Random Forest).</t>
  </si>
  <si>
    <t>Helped decompose complex requirements into modular components, proposed binary packing strategies, and assisted in troubleshooting logic errors.</t>
  </si>
  <si>
    <t>Auto-completing repetitive code blocks, generating standard loops, formatting serial prints, and drafting SVG chart rendering scripts for the local Web Dashboard.</t>
  </si>
  <si>
    <t>Accelerated raw code drafting, prevented basic syntax typos, and populated sensory variable mappings in C++ and Python.</t>
  </si>
  <si>
    <t>Decomposing a distributed IoT Weather Station system into independent functional modules (Sensor Node, Gateway Node, ML Engine). The decomposition must define clean boundaries between local hardware tasks and cloud analytics, eliminating redundant microcontrollers (like combining Arduino Uno and ESP8266) to adopt a unified "ESP-Only" architecture.</t>
  </si>
  <si>
    <t>"I am building an IoT Smart Weather Station system using ESP8266 and LoRa SX1278. It consists of an outdoor sensor node, an indoor gateway node, and a Python machine learning engine for weather forecasting. Break down the system into core hardware and software modules using a simplified, cost-effective 'ESP-Only' architecture. Define the specific responsibilities of each component."</t>
  </si>
  <si>
    <t>AI proposed a three-tier architecture: (1) Sensor Node (standalone ESP8266) to read DHT11, BMP280, and rain sensor, transmitting binary payloads over LoRa; (2) Gateway Node (standalone ESP8266) to receive LoRa packets, host a Local Web Server via AP mode, and push data to ThingSpeak via STA mode; (3) ML Engine running as a cloud cronjob (GitHub Actions) to fetch historical data from ThingSpeak, execute Random Forest forecasts, and write predictions back. AI recommended using Deep Sleep on the Sensor Node to save power.</t>
  </si>
  <si>
    <r>
      <t xml:space="preserve">Critical Thinking: </t>
    </r>
    <r>
      <rPr>
        <sz val="11"/>
        <color theme="1"/>
        <rFont val="Times New Roman"/>
        <family val="1"/>
      </rPr>
      <t xml:space="preserve">The proposed "ESP-Only" architecture reduces hardware footprint and cost. However, AI assumed the Gateway's Wi-Fi connection is always stable. In remote agricultural fields, local Wi-Fi router dropouts are common. If Wi-Fi is lost, all incoming sensor data would be lost. An offline buffering module is needed.
</t>
    </r>
    <r>
      <rPr>
        <b/>
        <sz val="11"/>
        <color theme="1"/>
        <rFont val="Times New Roman"/>
        <family val="1"/>
      </rPr>
      <t>Contextualization:</t>
    </r>
    <r>
      <rPr>
        <sz val="11"/>
        <color theme="1"/>
        <rFont val="Times New Roman"/>
        <family val="1"/>
      </rPr>
      <t xml:space="preserve"> The outdoor Sensor Node runs on battery and solar power, requiring extreme Deep Sleep (60-second intervals), meaning all code must run quickly in setup(). The Gateway has continuous mains power, making it suitable to run a LittleFS local buffer when internet access is lost.
</t>
    </r>
    <r>
      <rPr>
        <b/>
        <sz val="11"/>
        <color theme="1"/>
        <rFont val="Times New Roman"/>
        <family val="1"/>
      </rPr>
      <t>Creative Synthesis:</t>
    </r>
    <r>
      <rPr>
        <sz val="11"/>
        <color theme="1"/>
        <rFont val="Times New Roman"/>
        <family val="1"/>
      </rPr>
      <t xml:space="preserve"> I integrated a LittleFS-based offline logging module in the Gateway Node to append data to /offline.csv during network outages. The Local Web Dashboard was written in a single lightweight static HTML file embedded directly in the Gateway's flash memory (PROGMEM) to eliminate the need for external static assets.
</t>
    </r>
    <r>
      <rPr>
        <b/>
        <sz val="11"/>
        <color theme="1"/>
        <rFont val="Times New Roman"/>
        <family val="1"/>
      </rPr>
      <t xml:space="preserve">Decision Ownership: </t>
    </r>
    <r>
      <rPr>
        <sz val="11"/>
        <color theme="1"/>
        <rFont val="Times New Roman"/>
        <family val="1"/>
      </rPr>
      <t>I implemented this architecture, configuring the Gateway to run in dual mode (WIFI_AP_STA) to provide local web dashboard access at 192.168.4.1 while maintaining cloud uploads.</t>
    </r>
  </si>
  <si>
    <t>Decomposing the firmware routines of the Sensor and Gateway nodes. Because the Sensor Node goes to Deep Sleep to preserve battery, the firmware must execute all tasks in a tight, sequential manner during startup to minimize active CPU time.</t>
  </si>
  <si>
    <t>"For the firmware of the outdoor Sensor Node (using a 60-second Deep Sleep cycle) and the indoor Gateway Node (continuous operation), how should I decompose the tasks in setup() and loop()? Provide a step-by-step sequential flow for both nodes to minimize the active CPU time on the battery-powered transmitter."</t>
  </si>
  <si>
    <t>AI proposed a sequential task flow: (1) For the Sensor Node, place all sensor initialization, reading, packet transmission, and sleep routines in setup(), leaving loop() empty because the chip reboots on wake-up; (2) For the Gateway Node, initialize WiFi and LoRa in setup(), and handle non-blocking Web Server clients, LoRa parser, and ThingSpeak uploads in loop().</t>
  </si>
  <si>
    <r>
      <t xml:space="preserve">Critical Thinking: </t>
    </r>
    <r>
      <rPr>
        <sz val="11"/>
        <color theme="1"/>
        <rFont val="Times New Roman"/>
        <family val="1"/>
      </rPr>
      <t xml:space="preserve">The structural flow suggested by AI is correct. However, AI suggested reading the analog rain sensor continuously. Doing so causes electrolysis on the analog rain sensor plates, leading to rapid corrosion. I need to decompose the flow to control power to the rain sensor via a digital GPIO pin, powering it only during measurement.
</t>
    </r>
    <r>
      <rPr>
        <b/>
        <sz val="11"/>
        <color theme="1"/>
        <rFont val="Times New Roman"/>
        <family val="1"/>
      </rPr>
      <t xml:space="preserve">Contextualization: </t>
    </r>
    <r>
      <rPr>
        <sz val="11"/>
        <color theme="1"/>
        <rFont val="Times New Roman"/>
        <family val="1"/>
      </rPr>
      <t xml:space="preserve">Because the Sensor Node sleeps for 60 seconds, each active cycle must last less than 2 seconds. Minimizing sensor warm-up times (BMP280 and DHT11) is critical to preserving battery capacity.
</t>
    </r>
    <r>
      <rPr>
        <b/>
        <sz val="11"/>
        <color theme="1"/>
        <rFont val="Times New Roman"/>
        <family val="1"/>
      </rPr>
      <t>Creative Synthesis:</t>
    </r>
    <r>
      <rPr>
        <sz val="11"/>
        <color theme="1"/>
        <rFont val="Times New Roman"/>
        <family val="1"/>
      </rPr>
      <t xml:space="preserve"> I modified the Sensor Node flow: Turn on digital pin to power rain sensor -&gt; Read 16 samples to average out noise -&gt; Turn off rain sensor power -&gt; Initialize LoRa -&gt; Transmit binary packet -&gt; Wait for ACK from Gateway -&gt; Enter Deep Sleep immediately upon ACK or after a 1-second timeout.
</t>
    </r>
    <r>
      <rPr>
        <b/>
        <sz val="11"/>
        <color theme="1"/>
        <rFont val="Times New Roman"/>
        <family val="1"/>
      </rPr>
      <t xml:space="preserve">Decision Ownership: </t>
    </r>
    <r>
      <rPr>
        <sz val="11"/>
        <color theme="1"/>
        <rFont val="Times New Roman"/>
        <family val="1"/>
      </rPr>
      <t>I kept loop() completely empty on the Sensor Node to prevent CPU cycles from being wasted if Deep Sleep fails, adding a software Watchdog Timer (WDT) to force sleep if the I2C bus hangs.</t>
    </r>
  </si>
  <si>
    <t>Sensor Node Firmware Execution Flow</t>
  </si>
  <si>
    <t>Decomposing the offline data buffering and sync flow at the Gateway Node. The synchronization of backlog files must run asynchronously to prevent blocking incoming real-time LoRa packets or degrading Local Web Dashboard responsiveness.</t>
  </si>
  <si>
    <t>"How can I implement offline sensor data synchronization on an ESP8266 Gateway? Data should be saved to LittleFS (/offline.csv) when Wi-Fi is down and uploaded to ThingSpeak when Wi-Fi reconnects. Design the synchronization task flow so that it does not block the real-time LoRa receiver in loop()."</t>
  </si>
  <si>
    <t>AI suggested: (1) Open /offline.csv in append mode when Wi-Fi is disconnected to save telemetry; (2) When Wi-Fi reconnects, open the file, read the first line, and make an HTTP request; (3) Use a millis() timer instead of blocking delay() calls to coordinate transmission intervals.</t>
  </si>
  <si>
    <r>
      <t>Critical Thinking:</t>
    </r>
    <r>
      <rPr>
        <sz val="11"/>
        <color theme="1"/>
        <rFont val="Times New Roman"/>
        <family val="1"/>
      </rPr>
      <t xml:space="preserve"> The non-blocking timer suggestion is correct. However, if the file is opened, truncated, and written to disk after every single successful upload, it will cause excessive flash memory wear, leading to ESP8266 storage failure. A better decomposition is to maintain a pointer (offlineSentCount) representing successfully synced lines and delete the file only when all lines are successfully sent.
</t>
    </r>
    <r>
      <rPr>
        <b/>
        <sz val="11"/>
        <color theme="1"/>
        <rFont val="Times New Roman"/>
        <family val="1"/>
      </rPr>
      <t>Contextualization:</t>
    </r>
    <r>
      <rPr>
        <sz val="11"/>
        <color theme="1"/>
        <rFont val="Times New Roman"/>
        <family val="1"/>
      </rPr>
      <t xml:space="preserve"> ThingSpeak limits updates to once every 15 seconds. The backlog sync must be paced at least 16 seconds apart to avoid API rate rejection.
</t>
    </r>
    <r>
      <rPr>
        <b/>
        <sz val="11"/>
        <color theme="1"/>
        <rFont val="Times New Roman"/>
        <family val="1"/>
      </rPr>
      <t>Creative Synthesis:</t>
    </r>
    <r>
      <rPr>
        <sz val="11"/>
        <color theme="1"/>
        <rFont val="Times New Roman"/>
        <family val="1"/>
      </rPr>
      <t xml:space="preserve"> I implemented handleAutoSync() using offlineSentCount and a millis() interval tracker. It reads line by line at 16-second intervals. If the HTTP request returns successfully, offlineSentCount increments. Once the end of the file is reached, /offline.csv is removed.
</t>
    </r>
    <r>
      <rPr>
        <b/>
        <sz val="11"/>
        <color theme="1"/>
        <rFont val="Times New Roman"/>
        <family val="1"/>
      </rPr>
      <t>Decision Ownership:</t>
    </r>
    <r>
      <rPr>
        <sz val="11"/>
        <color theme="1"/>
        <rFont val="Times New Roman"/>
        <family val="1"/>
      </rPr>
      <t xml:space="preserve"> This design isolates offline synchronization from the LoRa receiver, ensuring no packets are dropped while flushing the backlog buffer.</t>
    </r>
  </si>
  <si>
    <t>005</t>
  </si>
  <si>
    <t>006</t>
  </si>
  <si>
    <t>007</t>
  </si>
  <si>
    <t>008</t>
  </si>
  <si>
    <t>009</t>
  </si>
  <si>
    <t>010</t>
  </si>
  <si>
    <t>011</t>
  </si>
  <si>
    <t>012</t>
  </si>
  <si>
    <t>Recognizing the telemetry packet structure pattern over LoRa. To minimize airtime and conserve battery, the transmission payload must be as small as possible. I need to evaluate the airtime impact of sending raw ASCII/JSON strings versus a packed binary structure.</t>
  </si>
  <si>
    <t>"I need to transmit weather parameters (Node ID, sequence number, flags, temperature, humidity, pressure, rain intensity, battery percentage) over LoRa SX1278. Compare the airtime and power consumption of raw JSON strings against a packed C++ binary struct. How can I handle 32-bit compiler alignment padding on the ESP8266?"</t>
  </si>
  <si>
    <t>AI compared the transmission patterns: (1) ASCII JSON string consumes 120-150 bytes, causing high Time-on-Air; (2) Binary packed struct reduces the payload to 15 bytes. AI recommended using the #pragma pack(push, 1) directive to eliminate padding bytes added by the GCC compiler on 32-bit processors, ensuring 1-byte alignment.</t>
  </si>
  <si>
    <r>
      <rPr>
        <b/>
        <sz val="11"/>
        <color theme="1"/>
        <rFont val="Times New Roman"/>
        <family val="1"/>
      </rPr>
      <t xml:space="preserve">Critical Thinking: </t>
    </r>
    <r>
      <rPr>
        <sz val="11"/>
        <color theme="1"/>
        <rFont val="Times New Roman"/>
        <family val="1"/>
      </rPr>
      <t xml:space="preserve">The recommended binary packing and padding elimination are correct. However, AI overlooked potential endianness conflicts if different CPU architectures are used. Since both the Sensor and Gateway nodes in this project use ESP8266 (little-endian), direct struct mapping is safe.
</t>
    </r>
    <r>
      <rPr>
        <b/>
        <sz val="11"/>
        <color theme="1"/>
        <rFont val="Times New Roman"/>
        <family val="1"/>
      </rPr>
      <t xml:space="preserve">Contextualization: </t>
    </r>
    <r>
      <rPr>
        <sz val="11"/>
        <color theme="1"/>
        <rFont val="Times New Roman"/>
        <family val="1"/>
      </rPr>
      <t xml:space="preserve">The 433MHz spectrum is crowded with local RF noise. Minimizing Airtime reduces collision probability and improves packet delivery rates.
</t>
    </r>
    <r>
      <rPr>
        <b/>
        <sz val="11"/>
        <color theme="1"/>
        <rFont val="Times New Roman"/>
        <family val="1"/>
      </rPr>
      <t>Creative Synthesis:</t>
    </r>
    <r>
      <rPr>
        <sz val="11"/>
        <color theme="1"/>
        <rFont val="Times New Roman"/>
        <family val="1"/>
      </rPr>
      <t xml:space="preserve"> I created WeatherPkt_t aligned to 1 byte. Float variables are scaled to integers (e.g., Temp * 100, Hum * 100, (Pres - 800) * 10) to fit into 16-bit integers, shrinking the total payload to exactly 15 bytes.
</t>
    </r>
    <r>
      <rPr>
        <b/>
        <sz val="11"/>
        <color theme="1"/>
        <rFont val="Times New Roman"/>
        <family val="1"/>
      </rPr>
      <t>Decision Ownership:</t>
    </r>
    <r>
      <rPr>
        <sz val="11"/>
        <color theme="1"/>
        <rFont val="Times New Roman"/>
        <family val="1"/>
      </rPr>
      <t xml:space="preserve"> I implemented this packed structure on both nodes, which reduces the Time-on-Air to ~28.8ms at SF7.</t>
    </r>
  </si>
  <si>
    <t>Designing a system-wide fault-tolerance matrix. The weather station must handle sensor failures (unplugged cables), LoRa transmission loss, and Wi-Fi connection drops at the Gateway, establishing recovery patterns for both nodes.</t>
  </si>
  <si>
    <t>"Design a failure handling and verification matrix for an ESP8266-based LoRa weather station. Detail how the Sensor Node should detect and respond to sensor failures, and how the Gateway Node should store, display, or upload data when network connectivity is lost."</t>
  </si>
  <si>
    <t>AI proposed checking sensor return values for NaN (Not a Number), monitoring transmission timeouts, and checking Gateway Wi-Fi connection status. It suggested transmitting a default value of 0 when a sensor is disconnected.</t>
  </si>
  <si>
    <r>
      <rPr>
        <b/>
        <sz val="11"/>
        <color theme="1"/>
        <rFont val="Times New Roman"/>
        <family val="1"/>
      </rPr>
      <t xml:space="preserve">Critical Thinking: </t>
    </r>
    <r>
      <rPr>
        <sz val="11"/>
        <color theme="1"/>
        <rFont val="Times New Roman"/>
        <family val="1"/>
      </rPr>
      <t xml:space="preserve">Sending a default value of 0 is a poor design choice. If temperature drops to 0°C suddenly, the Cloud AI model will interpret this as a real extreme weather anomaly, corrupting historical trends. A better pattern is to load the last valid sensor reading cached in the Sensor Node's RTC memory and clear the FLAG_DATA_VALID bit in the telemetry payload.
</t>
    </r>
    <r>
      <rPr>
        <b/>
        <sz val="11"/>
        <color theme="1"/>
        <rFont val="Times New Roman"/>
        <family val="1"/>
      </rPr>
      <t>Contextualization:</t>
    </r>
    <r>
      <rPr>
        <sz val="11"/>
        <color theme="1"/>
        <rFont val="Times New Roman"/>
        <family val="1"/>
      </rPr>
      <t xml:space="preserve"> This allows the Gateway to show the cached value as a "fallback" reading while discarding the record from cloud uploads to protect the ML model's integrity.
</t>
    </r>
    <r>
      <rPr>
        <b/>
        <sz val="11"/>
        <color theme="1"/>
        <rFont val="Times New Roman"/>
        <family val="1"/>
      </rPr>
      <t xml:space="preserve">Creative Synthesis: </t>
    </r>
    <r>
      <rPr>
        <sz val="11"/>
        <color theme="1"/>
        <rFont val="Times New Roman"/>
        <family val="1"/>
      </rPr>
      <t xml:space="preserve">I built a fault-tolerance matrix incorporating RTC caching on the Sensor Node and LittleFS buffering on the Gateway, rate-limiting the local upload queue to prevent ThingSpeak API blocks.
</t>
    </r>
    <r>
      <rPr>
        <b/>
        <sz val="11"/>
        <color theme="1"/>
        <rFont val="Times New Roman"/>
        <family val="1"/>
      </rPr>
      <t xml:space="preserve">Decision Ownership: </t>
    </r>
    <r>
      <rPr>
        <sz val="11"/>
        <color theme="1"/>
        <rFont val="Times New Roman"/>
        <family val="1"/>
      </rPr>
      <t>I implemented this matrix in gateway_node.ino and sensor_node.ino to ensure continuous offline monitoring.</t>
    </r>
  </si>
  <si>
    <t>Recognizing the network synchronization and filtering pattern on the 433MHz ISM band. Because multiple RF devices operate on the same frequency, the Gateway must reject packets from other nearby nodes to prevent data corruption and CPU overhead.</t>
  </si>
  <si>
    <t>"How can I configure the Semtech SX1278 module to reject packets from other RF devices operating on the same 433MHz frequency? Is there a physical or software filtering pattern I can use to protect my P2P connection?"</t>
  </si>
  <si>
    <t>AI recommended two filtering patterns: (1) Setting a custom Synchronization Word (LoRa.setSyncWord(value)) so that the SX1278 hardware automatically ignores packets with mismatched sync bytes; (2) Including a unique Node ID in the software payload to filter packets at the application layer.</t>
  </si>
  <si>
    <r>
      <rPr>
        <b/>
        <sz val="11"/>
        <color theme="1"/>
        <rFont val="Times New Roman"/>
        <family val="1"/>
      </rPr>
      <t>Critical Thinking:</t>
    </r>
    <r>
      <rPr>
        <sz val="11"/>
        <color theme="1"/>
        <rFont val="Times New Roman"/>
        <family val="1"/>
      </rPr>
      <t xml:space="preserve"> Using the default library Sync Word (like 0x12) is insufficient because other groups in the class may use the same library. A custom, unique Sync Word (e.g., 0xAB) combined with a strict Node ID check (0x0001) at the application layer is required to guarantee isolation.
</t>
    </r>
    <r>
      <rPr>
        <b/>
        <sz val="11"/>
        <color theme="1"/>
        <rFont val="Times New Roman"/>
        <family val="1"/>
      </rPr>
      <t xml:space="preserve">Contextualization: </t>
    </r>
    <r>
      <rPr>
        <sz val="11"/>
        <color theme="1"/>
        <rFont val="Times New Roman"/>
        <family val="1"/>
      </rPr>
      <t xml:space="preserve">Minimizing software processing of corrupted or unwanted packets is essential for the Gateway Node, which is busy serving local web clients and managing connection states.
</t>
    </r>
    <r>
      <rPr>
        <b/>
        <sz val="11"/>
        <color theme="1"/>
        <rFont val="Times New Roman"/>
        <family val="1"/>
      </rPr>
      <t xml:space="preserve">Creative Synthesis: </t>
    </r>
    <r>
      <rPr>
        <sz val="11"/>
        <color theme="1"/>
        <rFont val="Times New Roman"/>
        <family val="1"/>
      </rPr>
      <t xml:space="preserve">I configured LoRa.setSyncWord(0xAB) on both nodes. In the Gateway receiver loop, I added a condition: if the received node_id is not 0x0001, the packet is immediately discarded, avoiding any parsing overhead.
</t>
    </r>
    <r>
      <rPr>
        <b/>
        <sz val="11"/>
        <color theme="1"/>
        <rFont val="Times New Roman"/>
        <family val="1"/>
      </rPr>
      <t>Decision Ownership:</t>
    </r>
    <r>
      <rPr>
        <sz val="11"/>
        <color theme="1"/>
        <rFont val="Times New Roman"/>
        <family val="1"/>
      </rPr>
      <t xml:space="preserve"> I implemented this dual-layer filter (hardware Sync Word + software Node ID) to establish a secure P2P link.</t>
    </r>
  </si>
  <si>
    <t>Abstracting weather telemetry variables and system flags. To conserve battery and airtime, multiple warning conditions and startup states must be compressed into a single status byte instead of transmitting multiple boolean values.</t>
  </si>
  <si>
    <t>"How can I abstract multiple weather warnings (high temperature, rain storm) and system flags (first boot, battery status) into a single uint8_t flag byte for LoRa transmission? Provide a bit-mapping layout."</t>
  </si>
  <si>
    <t>AI proposed a flag byte structure using bitwise operations: Bit 0 for high temperature, Bit 1 for rain alarm, Bit 4 for data validity, and Bit 5 for first-boot indication. It provided bitmasks to extract these states at the receiver.</t>
  </si>
  <si>
    <t>Abstracting SX1278 hardware operations via SPI. Importing heavy libraries consumes up to 20% of the ESP8266's flash memory. To save space for edge calculations, low-level register communication must be abstracted into a lightweight SPI wrapper.</t>
  </si>
  <si>
    <t>"How can I write a minimal C++ wrapper class to interface with the Semtech SX1278 LoRa module using raw SPI commands on ESP8266? I want to avoid importing external libraries like LoRa.h. Provide register address definitions and basic read/write functions."</t>
  </si>
  <si>
    <t>AI proposed an abstraction layer using the default SPI.h library. It defined registers (e.g., REG_OP_MODE, REG_VERSION, REG_FIFO) and wrote spiRead and spiWrite helper functions that toggle the Slave Select (SS) pin and transfer bytes via SPI.transfer().</t>
  </si>
  <si>
    <t>Abstracting the local rain probability correction model (Hybrid Edge AI). The Random Forest model running on the Cloud has a 15-minute update cycle. To respond immediately to fast-forming rainstorms and protect crops, the Gateway must run a local abstraction model to override the cloud-calculated rain probability when analog rain readings drop.</t>
  </si>
  <si>
    <t>"I want to design an edge correction algorithm on the Gateway to override the Cloud-calculated AI rain probability based on the real-time analog rain sensor reading (values from 0 to 1023, where lower values indicate more rain). Design a mathematical model for this correction."</t>
  </si>
  <si>
    <t>AI proposed a linear override formula: if the analog reading drops below a threshold (e.g., R_analog &lt; 700), the local rain probability is calculated as the maximum of the cloud prediction and a scaled linear function of the analog reading.</t>
  </si>
  <si>
    <t>Implementing an Edge Fallback Linear Regression algorithm. When the Gateway loses internet access, it cannot retrieve forecasts from the Cloud. To maintain high availability, the Gateway must run a local Ordinary Least Squares (OLS) linear regression model to estimate temp, humidity, and pressure trends for the next 60 minutes based on historical points.</t>
  </si>
  <si>
    <t>"Write an Ordinary Least Squares (OLS) linear regression algorithm in C++ to run on an ESP8266 microcontroller. The algorithm must analyze the trend of the last N weather readings and extrapolate values for the next +60 minutes when internet is offline."</t>
  </si>
  <si>
    <t>AI provided the standard OLS math formulas to find the slope a and intercept b for the line Y=a⋅t+b. It calculated the sums of t, Y, t^2, and t⋅Y, dividing them to calculate coefficients and predicting Y(mũ)=a⋅60+b.</t>
  </si>
  <si>
    <t>Designing an Adaptive Spreading Factor (SF) algorithm. Under severe weather, LoRa path loss increases. The Sensor Node must dynamically increase SF (SF7 to SF12) when it fails to receive ACKs from the Gateway, and decrease SF when the channel stabilizes, storing states across deep sleep.</t>
  </si>
  <si>
    <t>"Design a C++ algorithm for an ESP8266 Sensor Node to dynamically adjust the LoRa Spreading Factor (SF7 to SF12) based on missing packet ACKs. Because the ESP8266 goes to deep sleep, explain how to read and write the SF level and fail counters to the RTC user memory."</t>
  </si>
  <si>
    <t>AI proposed increasing SF by 1 after 3 consecutive transmission failures, and decreasing SF after a single successful packet. It suggested using ESP.rtcUserMemoryRead and ESP.rtcUserMemoryWrite to persist variables.</t>
  </si>
  <si>
    <t>Implementing a software CRC-16 check. The 433MHz band is susceptible to noise, and hardware CRC checks can occasionally overlook corrupted data frames. A software-based CRC-16 CCITT algorithm must run on both nodes to verify payload integrity before processing.</t>
  </si>
  <si>
    <t>"Write a C++ function to calculate the CRC-16 CCITT checksum (polynomial 0x1021, initial value 0xFFFF) for a byte buffer. Explain how to append the checksum to the binary struct at the Sensor Node and verify it at the Gateway."</t>
  </si>
  <si>
    <t>AI provided a bitwise shift implementation of the CRC-16 CCITT algorithm. It looped through each byte, XORing the register with 0x1021 if the MSB was 1, and showed how to place the checksum at the end of the packet structure.</t>
  </si>
  <si>
    <r>
      <rPr>
        <b/>
        <sz val="11"/>
        <color theme="1"/>
        <rFont val="Times New Roman"/>
        <family val="1"/>
      </rPr>
      <t xml:space="preserve">Critical Thinking: </t>
    </r>
    <r>
      <rPr>
        <sz val="11"/>
        <color theme="1"/>
        <rFont val="Times New Roman"/>
        <family val="1"/>
      </rPr>
      <t xml:space="preserve">Compressing alerts into a single byte is highly efficient. However, triggering alarms at the Gateway based on instantaneous values (e.g., Temperature &gt; 40°C) will cause the buzzer to toggle rapidly if the sensor reading oscillates around the threshold.
</t>
    </r>
    <r>
      <rPr>
        <b/>
        <sz val="11"/>
        <color theme="1"/>
        <rFont val="Times New Roman"/>
        <family val="1"/>
      </rPr>
      <t>Contextualization:</t>
    </r>
    <r>
      <rPr>
        <sz val="11"/>
        <color theme="1"/>
        <rFont val="Times New Roman"/>
        <family val="1"/>
      </rPr>
      <t xml:space="preserve"> In agricultural setups, weather parameters change gradually. I need to implement a Hysteresis algorithm at the Gateway to smooth alarm transitions.
</t>
    </r>
    <r>
      <rPr>
        <b/>
        <sz val="11"/>
        <color theme="1"/>
        <rFont val="Times New Roman"/>
        <family val="1"/>
      </rPr>
      <t xml:space="preserve">Creative Synthesis: </t>
    </r>
    <r>
      <rPr>
        <sz val="11"/>
        <color theme="1"/>
        <rFont val="Times New Roman"/>
        <family val="1"/>
      </rPr>
      <t xml:space="preserve">I defined bitmasks for all variables in flags. At the Gateway, I implemented Hysteresis: high temperature alarm triggers at Temp &gt; 40.0°C and clears only when Temp drops below 38.5°C. I also combined alerts to trigger an "extreme weather" red alarm if high temp and rain occur simultaneously.
</t>
    </r>
    <r>
      <rPr>
        <b/>
        <sz val="11"/>
        <color theme="1"/>
        <rFont val="Times New Roman"/>
        <family val="1"/>
      </rPr>
      <t>Decision Ownership:</t>
    </r>
    <r>
      <rPr>
        <sz val="11"/>
        <color theme="1"/>
        <rFont val="Times New Roman"/>
        <family val="1"/>
      </rPr>
      <t xml:space="preserve"> I adopted this bitmapped flag byte, which encapsulates four distinct system states into a single byte, minimizing bandwidth consumption.</t>
    </r>
  </si>
  <si>
    <r>
      <rPr>
        <b/>
        <sz val="11"/>
        <color theme="1"/>
        <rFont val="Times New Roman"/>
        <family val="1"/>
      </rPr>
      <t xml:space="preserve">Critical Thinking: </t>
    </r>
    <r>
      <rPr>
        <sz val="11"/>
        <color theme="1"/>
        <rFont val="Times New Roman"/>
        <family val="1"/>
      </rPr>
      <t xml:space="preserve">AI's SPI transfer pattern is correct. However, the proposed code used raw magic numbers for register addresses. I need to define the register map systematically using #define constants to keep the driver clean and maintainable.
</t>
    </r>
    <r>
      <rPr>
        <b/>
        <sz val="11"/>
        <color theme="1"/>
        <rFont val="Times New Roman"/>
        <family val="1"/>
      </rPr>
      <t>Contextualization:</t>
    </r>
    <r>
      <rPr>
        <sz val="11"/>
        <color theme="1"/>
        <rFont val="Times New Roman"/>
        <family val="1"/>
      </rPr>
      <t xml:space="preserve"> The Sensor Node has no external reset pin connected to SX1278 (RESET is tied to D0/RST for wake-up). I need to implement a software reset command instead of relying on a physical GPIO toggle.
</t>
    </r>
    <r>
      <rPr>
        <b/>
        <sz val="11"/>
        <color theme="1"/>
        <rFont val="Times New Roman"/>
        <family val="1"/>
      </rPr>
      <t>Creative Synthesis:</t>
    </r>
    <r>
      <rPr>
        <sz val="11"/>
        <color theme="1"/>
        <rFont val="Times New Roman"/>
        <family val="1"/>
      </rPr>
      <t xml:space="preserve"> I built a custom driver defining REG_VERSION, REG_FIFO, and MODEM parameters, forcing Carrier Frequency to 433E6 and Sync Word to 0xAB in loraInit().
</t>
    </r>
    <r>
      <rPr>
        <b/>
        <sz val="11"/>
        <color theme="1"/>
        <rFont val="Times New Roman"/>
        <family val="1"/>
      </rPr>
      <t>Decision Ownership:</t>
    </r>
    <r>
      <rPr>
        <sz val="11"/>
        <color theme="1"/>
        <rFont val="Times New Roman"/>
        <family val="1"/>
      </rPr>
      <t xml:space="preserve"> Writing this lightweight SPI driver saved 24KB of Flash and 2KB of RAM, reducing booting time by 120ms.</t>
    </r>
  </si>
  <si>
    <r>
      <rPr>
        <b/>
        <sz val="11"/>
        <color theme="1"/>
        <rFont val="Times New Roman"/>
        <family val="1"/>
      </rPr>
      <t xml:space="preserve">Critical Thinking: </t>
    </r>
    <r>
      <rPr>
        <sz val="11"/>
        <color theme="1"/>
        <rFont val="Times New Roman"/>
        <family val="1"/>
      </rPr>
      <t xml:space="preserve">AI's linear override concept is logical. However, the proposed formula had no upper limit, which could result in a calculated rain probability exceeding 100% or experiencing step-change discontinuity. I must clamp the output to a maximum of 100% and scale the slope smoothly.
</t>
    </r>
    <r>
      <rPr>
        <b/>
        <sz val="11"/>
        <color theme="1"/>
        <rFont val="Times New Roman"/>
        <family val="1"/>
      </rPr>
      <t>Contextualization:</t>
    </r>
    <r>
      <rPr>
        <sz val="11"/>
        <color theme="1"/>
        <rFont val="Times New Roman"/>
        <family val="1"/>
      </rPr>
      <t xml:space="preserve"> The rain sensor reads 1023 in dry conditions, 700 in light mist, and drops to 350 in heavy downpours.
</t>
    </r>
    <r>
      <rPr>
        <b/>
        <sz val="11"/>
        <color theme="1"/>
        <rFont val="Times New Roman"/>
        <family val="1"/>
      </rPr>
      <t>Creative Synthesis:</t>
    </r>
    <r>
      <rPr>
        <sz val="11"/>
        <color theme="1"/>
        <rFont val="Times New Roman"/>
        <family val="1"/>
      </rPr>
      <t xml:space="preserve"> I defined the hybrid rain correction algorithm at the Gateway
If the analog index reaches 350 (heavy rain), the local probability climbs to 60% + (700-350) * 0.05 = 77.5%, overriding the old cloud forecast and triggering the safety warnings.
</t>
    </r>
    <r>
      <rPr>
        <b/>
        <sz val="11"/>
        <color theme="1"/>
        <rFont val="Times New Roman"/>
        <family val="1"/>
      </rPr>
      <t xml:space="preserve">Decision Ownership: </t>
    </r>
    <r>
      <rPr>
        <sz val="11"/>
        <color theme="1"/>
        <rFont val="Times New Roman"/>
        <family val="1"/>
      </rPr>
      <t>I implemented this Edge AI correction formula at the Gateway to protect local farming assets during cloud offline states.</t>
    </r>
  </si>
  <si>
    <r>
      <rPr>
        <b/>
        <sz val="11"/>
        <color theme="1"/>
        <rFont val="Times New Roman"/>
        <family val="1"/>
      </rPr>
      <t xml:space="preserve">Critical Thinking: </t>
    </r>
    <r>
      <rPr>
        <sz val="11"/>
        <color theme="1"/>
        <rFont val="Times New Roman"/>
        <family val="1"/>
      </rPr>
      <t xml:space="preserve">AI's mathematical implementation is correct. However, allocating dynamic arrays on the ESP8266 for N points leads to heap fragmentation and system crashes. The data should be managed using a static circular buffer of size N=10, and the time coordinates t should be normalized to t0=0 to t9=9 to avoid float overflow.
</t>
    </r>
    <r>
      <rPr>
        <b/>
        <sz val="11"/>
        <color theme="1"/>
        <rFont val="Times New Roman"/>
        <family val="1"/>
      </rPr>
      <t xml:space="preserve">Contextualization: </t>
    </r>
    <r>
      <rPr>
        <sz val="11"/>
        <color theme="1"/>
        <rFont val="Times New Roman"/>
        <family val="1"/>
      </rPr>
      <t xml:space="preserve">This fallback algorithm runs on the edge, outputting predictions directly to the offline dashboard at 192.168.4.1 during network outages.
</t>
    </r>
    <r>
      <rPr>
        <b/>
        <sz val="11"/>
        <color theme="1"/>
        <rFont val="Times New Roman"/>
        <family val="1"/>
      </rPr>
      <t xml:space="preserve">Creative Synthesis: </t>
    </r>
    <r>
      <rPr>
        <sz val="11"/>
        <color theme="1"/>
        <rFont val="Times New Roman"/>
        <family val="1"/>
      </rPr>
      <t xml:space="preserve">I built a circular buffer of size 10. When a new packet arrives, the oldest reading is pushed out, and the Gateway recalculates the OLS coefficients.
</t>
    </r>
    <r>
      <rPr>
        <b/>
        <sz val="11"/>
        <color theme="1"/>
        <rFont val="Times New Roman"/>
        <family val="1"/>
      </rPr>
      <t>Decision Ownership:</t>
    </r>
    <r>
      <rPr>
        <sz val="11"/>
        <color theme="1"/>
        <rFont val="Times New Roman"/>
        <family val="1"/>
      </rPr>
      <t xml:space="preserve"> I implemented this OLS fallback algorithm to provide local, short-term weather trends independent of cloud availability.</t>
    </r>
  </si>
  <si>
    <r>
      <rPr>
        <b/>
        <sz val="11"/>
        <color theme="1"/>
        <rFont val="Times New Roman"/>
        <family val="1"/>
      </rPr>
      <t>Critical Thinking:</t>
    </r>
    <r>
      <rPr>
        <sz val="11"/>
        <color theme="1"/>
        <rFont val="Times New Roman"/>
        <family val="1"/>
      </rPr>
      <t xml:space="preserve"> Persisting states in RTC memory is correct. However, decreasing SF immediately after a single success causes SF oscillation at the range boundary (success at SF9 -&gt; drops to SF8 -&gt; fails -&gt; rises to SF9). I must add a success counter, decreasing SF only after 5 consecutive successful transmissions. I also need to add a Magic Number to check for RTC data corruption.
</t>
    </r>
    <r>
      <rPr>
        <b/>
        <sz val="11"/>
        <color theme="1"/>
        <rFont val="Times New Roman"/>
        <family val="1"/>
      </rPr>
      <t>Contextualization</t>
    </r>
    <r>
      <rPr>
        <sz val="11"/>
        <color theme="1"/>
        <rFont val="Times New Roman"/>
        <family val="1"/>
      </rPr>
      <t xml:space="preserve">: The RTC memory requires 4-byte alignment, so the structure layout must be padded to a multiple of 4 bytes.
</t>
    </r>
    <r>
      <rPr>
        <b/>
        <sz val="11"/>
        <color theme="1"/>
        <rFont val="Times New Roman"/>
        <family val="1"/>
      </rPr>
      <t>Creative Synthesis:</t>
    </r>
    <r>
      <rPr>
        <sz val="11"/>
        <color theme="1"/>
        <rFont val="Times New Roman"/>
        <family val="1"/>
      </rPr>
      <t xml:space="preserve"> I designed RtcData_t with RTC_MAGIC = 0xDEADBEEF. The algorithm increases SF when fail_count &gt;= 3 and decreases SF when success_count &gt;= 5.
</t>
    </r>
    <r>
      <rPr>
        <b/>
        <sz val="11"/>
        <color theme="1"/>
        <rFont val="Times New Roman"/>
        <family val="1"/>
      </rPr>
      <t>Decision Ownership:</t>
    </r>
    <r>
      <rPr>
        <sz val="11"/>
        <color theme="1"/>
        <rFont val="Times New Roman"/>
        <family val="1"/>
      </rPr>
      <t xml:space="preserve"> I implemented this adaptive SF algorithm to maintain link stability under harsh weather without manual adjustment.</t>
    </r>
  </si>
  <si>
    <r>
      <rPr>
        <b/>
        <sz val="11"/>
        <color theme="1"/>
        <rFont val="Times New Roman"/>
        <family val="1"/>
      </rPr>
      <t xml:space="preserve">Critical Thinking: </t>
    </r>
    <r>
      <rPr>
        <sz val="11"/>
        <color theme="1"/>
        <rFont val="Times New Roman"/>
        <family val="1"/>
      </rPr>
      <t xml:space="preserve">AI's bitwise algorithm is efficient and avoids allocating 512 bytes of RAM for a lookup table on the ESP8266. However, the proposed calculation included the crc16 field itself. The checksum calculation must skip the last 2 bytes of the structure (the crc16 field) because they are unpopulated during the calculation phase.
</t>
    </r>
    <r>
      <rPr>
        <b/>
        <sz val="11"/>
        <color theme="1"/>
        <rFont val="Times New Roman"/>
        <family val="1"/>
      </rPr>
      <t>Contextualization:</t>
    </r>
    <r>
      <rPr>
        <sz val="11"/>
        <color theme="1"/>
        <rFont val="Times New Roman"/>
        <family val="1"/>
      </rPr>
      <t xml:space="preserve"> The 80MHz ESP8266 can compute this bitwise shift in microseconds, introducing no delay to the transmission cycle.
</t>
    </r>
    <r>
      <rPr>
        <b/>
        <sz val="11"/>
        <color theme="1"/>
        <rFont val="Times New Roman"/>
        <family val="1"/>
      </rPr>
      <t>Creative Synthesis:</t>
    </r>
    <r>
      <rPr>
        <sz val="11"/>
        <color theme="1"/>
        <rFont val="Times New Roman"/>
        <family val="1"/>
      </rPr>
      <t xml:space="preserve"> I standardized crc16_ccitt on both nodes. Before transmitting, the Sensor Node sets pkt.crc16 = crc16_ccitt((const uint8_t*)&amp;pkt, sizeof(pkt) - 2). The Gateway computes CRC on the first 13 received bytes and compares it with pkt.crc16.
</t>
    </r>
    <r>
      <rPr>
        <b/>
        <sz val="11"/>
        <color theme="1"/>
        <rFont val="Times New Roman"/>
        <family val="1"/>
      </rPr>
      <t>Decision Ownership:</t>
    </r>
    <r>
      <rPr>
        <sz val="11"/>
        <color theme="1"/>
        <rFont val="Times New Roman"/>
        <family val="1"/>
      </rPr>
      <t xml:space="preserve"> I implemented this software CRC check to ensure that corrupted packets caused by RF noise are rejected before updating the local dashboard or uploading to the cloud.</t>
    </r>
  </si>
  <si>
    <t>AI recommended configuring the Gateway Wi-Fi to run in Station mode (WIFI_STA) only, claiming users could access the local Web Dashboard using the router-assigned dynamic IP (DHCP IP).</t>
  </si>
  <si>
    <t>In remote agricultural setups, routers are often unavailable. Furthermore, if the router goes offline or changes IP, local users lose access to the Web Dashboard. The Gateway must broadcast its own SSID (AP mode) to allow direct local connections.</t>
  </si>
  <si>
    <r>
      <rPr>
        <b/>
        <sz val="11"/>
        <color theme="1"/>
        <rFont val="Times New Roman"/>
        <family val="1"/>
      </rPr>
      <t xml:space="preserve">Physical/Network Test: </t>
    </r>
    <r>
      <rPr>
        <sz val="11"/>
        <color theme="1"/>
        <rFont val="Times New Roman"/>
        <family val="1"/>
      </rPr>
      <t>When the test router was disconnected, the Gateway went offline, and the local Web Dashboard became completely inaccessible.</t>
    </r>
  </si>
  <si>
    <t>Configured the Wi-Fi mode to WIFI_AP_STA in [gateway_node.ino] so that the Gateway hosts an AP at 192.168.4.1 while attempting to connect to the router in the background</t>
  </si>
  <si>
    <t>AI claimed that the Adafruit_BMP280 library contains a non-blocking takeForcedMeasurement() function that retrieves temperature and pressure readings instantly.</t>
  </si>
  <si>
    <t>In forced mode, calling takeForcedMeasurement() signals the BMP280 to wake up and perform an Analog-to-Digital (ADC) conversion. This conversion takes between 10ms and 150ms depending on oversampling. Querying values immediately returns stale or uninitialized readings.</t>
  </si>
  <si>
    <t>Configured BMP280 sampling parameters during setup and added a startup delay of 200ms before taking the first measurement cycle</t>
  </si>
  <si>
    <t>AI suggested using a global static uint8_t seqNum = 0 variable on the Sensor Node to increment packet sequence numbers, claiming it would persist across deep sleep cycles.</t>
  </si>
  <si>
    <t>Calling ESP.deepSleep() cuts power to the ESP8266 CPU and SRAM. Only the RTC timer remains powered. When the chip wakes up, it executes a full hardware reset, wiping all SRAM variables and resetting static values back to their default initialization state (0).</t>
  </si>
  <si>
    <t>Moved all variables that must persist across sleep cycles (sequence number, adaptive SF level, error counters) into the RTC User Memory using ESP.rtcUserMemoryRead and ESP.rtcUserMemoryWrite</t>
  </si>
  <si>
    <t>AI suggested calling datetime.datetime.now().hour in [predict_live.py] to compute the cyclic time feature, claiming it would automatically fetch the local timezone of the weather station.</t>
  </si>
  <si>
    <t>The script runs on GitHub Actions runners, which are configured to UTC (GMT+0) by default. Since Vietnam is in the UTC+7 timezone, the extracted hour was off by 7 hours. This offset skewed the cyclic sin/cos features, corrupting the input vector fed into the Random Forest model</t>
  </si>
  <si>
    <t>Adjusted the timezone offset by adding 7 hours in predict_live.py to align the cyclic time calculation with Vietnam time</t>
  </si>
  <si>
    <r>
      <rPr>
        <b/>
        <sz val="11"/>
        <color theme="1"/>
        <rFont val="Times New Roman"/>
        <family val="1"/>
      </rPr>
      <t>Hardware Response Test:</t>
    </r>
    <r>
      <rPr>
        <sz val="11"/>
        <color theme="1"/>
        <rFont val="Times New Roman"/>
        <family val="1"/>
      </rPr>
      <t xml:space="preserve"> Observed that telemetry readings on the local dashboard lagged behind physical environmental changes by exactly one transmission cycle during testing.</t>
    </r>
  </si>
  <si>
    <r>
      <rPr>
        <b/>
        <sz val="11"/>
        <color theme="1"/>
        <rFont val="Times New Roman"/>
        <family val="1"/>
      </rPr>
      <t>Compiler/Runtime Test:</t>
    </r>
    <r>
      <rPr>
        <sz val="11"/>
        <color theme="1"/>
        <rFont val="Times New Roman"/>
        <family val="1"/>
      </rPr>
      <t xml:space="preserve"> The Gateway console showed that the received sequence number seq_num was always 0 in every transmission.</t>
    </r>
  </si>
  <si>
    <r>
      <rPr>
        <b/>
        <sz val="11"/>
        <color theme="1"/>
        <rFont val="Times New Roman"/>
        <family val="1"/>
      </rPr>
      <t xml:space="preserve">Data Integration Test: </t>
    </r>
    <r>
      <rPr>
        <sz val="11"/>
        <color theme="1"/>
        <rFont val="Times New Roman"/>
        <family val="1"/>
      </rPr>
      <t>ThingSpeak forecast values showed a temperature shift, and the local SQLite database logged UTC timestamps instead of GMT+7.</t>
    </r>
  </si>
  <si>
    <t>x</t>
  </si>
  <si>
    <t>Every core prompt affects either architecture, communication protocols, memory allocation, or algorithms.</t>
  </si>
  <si>
    <t>Deleting these decisions reverts the system to inefficient designs (e.g., JSON payloads, WIFI_STA blocking loops, or lost states).</t>
  </si>
  <si>
    <t>Documented clearly in the Decision Ownership section of each entry.</t>
  </si>
  <si>
    <t>Every entry contains either C++ code, OLS/Rain equations, or comparison tables.</t>
  </si>
  <si>
    <t>Prompts are framed with specific hardware constraints, and AI responses are critiqued and adapted.</t>
  </si>
  <si>
    <t xml:space="preserve">	12 entries.</t>
  </si>
  <si>
    <t>Yes (Decomposition: 3, Pattern Recognition: 3, Abstraction: 3, Algorithms: 3).</t>
  </si>
  <si>
    <t xml:space="preserve">	4 cases.</t>
  </si>
  <si>
    <t>Yes (All 12 entries contain Critical Thinking, Contextualization, Creative Synthesis, and Decision Ownership).\</t>
  </si>
  <si>
    <t>100% (All 12/12 entries contain code snippets, trace tables, or schemas).</t>
  </si>
  <si>
    <t>Yes, chose "ESP-Only" nodes and isolated ML responsibilities.</t>
  </si>
  <si>
    <t>Yes, structured Sensor node wholly in setup() and pulsed rain sensor.</t>
  </si>
  <si>
    <t>Yes, implemented LittleFS /offline.csv sync with offlineSentCount pointer.</t>
  </si>
  <si>
    <t>Yes, scaled floats to 16-bit integers in packed C++ struct.</t>
  </si>
  <si>
    <t>Yes, fault-tolerance matrix using RTC cache fallback and AP/STA mode.</t>
  </si>
  <si>
    <t>Yes, used dual-layer filtering (Sync Word 0xAB + Node ID 0x0001).</t>
  </si>
  <si>
    <t xml:space="preserve">	Yes, packed alarms in 1-byte flags and filtered via Hysteresis.</t>
  </si>
  <si>
    <t>Yes, custom SPI wrapper for SX1278 to save 24KB Flash.</t>
  </si>
  <si>
    <t xml:space="preserve">	Yes, local hybrid rain override equation.</t>
  </si>
  <si>
    <t>Yes, local OLS linear regression circular buffer.</t>
  </si>
  <si>
    <t>Yes, adaptive SF (SF7-12) logic stored in aligned RTC memory.</t>
  </si>
  <si>
    <t xml:space="preserve">	Yes, software CRC-16 CCITT bitwise shift algorithm.</t>
  </si>
  <si>
    <t>Yes, AI recommended WIFI_STA only and UTC time.</t>
  </si>
  <si>
    <t>Yes, data flow diagram &amp; STA connection test cases.</t>
  </si>
  <si>
    <t>Yes, AI suggested loop-based reading and instant forced measurements.</t>
  </si>
  <si>
    <t>Yes, AI recommended immediate file deletion after each sync.</t>
  </si>
  <si>
    <t>Yes, AI proposed JSON strings or raw float structs.</t>
  </si>
  <si>
    <t>Yes, AI recommended dynamic DHCP and sending 0 as default.</t>
  </si>
  <si>
    <t>Yes, AI proposed default Sync Word only.</t>
  </si>
  <si>
    <t>Yes, AI proposed raw bitmask alerts without Hysteresis.</t>
  </si>
  <si>
    <t>Yes, AI recommended importing the heavy LoRa.h library.</t>
  </si>
  <si>
    <t>Yes, AI suggested linear scaling without clamp.</t>
  </si>
  <si>
    <t>Yes, AI suggested allocating dynamic arrays.</t>
  </si>
  <si>
    <t>Yes, AI claimed static RAM variables persist across deep sleep.</t>
  </si>
  <si>
    <t>Yes, AI included the CRC field itself in calculations.</t>
  </si>
  <si>
    <t>Yes, Sensor Node flowchart &amp; BMP280 initialization check.</t>
  </si>
  <si>
    <t>Yes, non-blocking handleAutoSync() code &amp; sync loop test cases.</t>
  </si>
  <si>
    <t>Yes, airtime comparison table &amp; C++ struct.</t>
  </si>
  <si>
    <t>Yes, systematic matrix &amp; sensor disconnect test cases.</t>
  </si>
  <si>
    <t>Yes, SPI filter code &amp; crosstalk verification.</t>
  </si>
  <si>
    <t>Yes, flags bitmask layout &amp; alarm trace table.</t>
  </si>
  <si>
    <t>Yes, register mapping &amp; C++ SPI driver.</t>
  </si>
  <si>
    <t>Yes, rain override math formula &amp; pump test cases.</t>
  </si>
  <si>
    <t>Yes, OLS equations &amp; division test cases.</t>
  </si>
  <si>
    <t>Yes, SF transition table &amp; RTC struct.</t>
  </si>
  <si>
    <t>Yes, trace table &amp; C++ CRC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</si>
</sst>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8"/>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0">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2" xfId="0" applyFont="1" applyBorder="1" applyAlignment="1">
      <alignment vertical="center" wrapText="1"/>
    </xf>
    <xf numFmtId="0" fontId="6" fillId="0" borderId="0" xfId="0" applyFont="1"/>
    <xf numFmtId="0" fontId="10"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applyFont="1" applyBorder="1" applyAlignment="1">
      <alignment horizontal="left" vertical="top" wrapText="1"/>
    </xf>
    <xf numFmtId="0" fontId="11" fillId="0" borderId="0" xfId="0" applyFont="1"/>
    <xf numFmtId="0" fontId="12" fillId="0" borderId="0" xfId="0" applyFont="1"/>
    <xf numFmtId="0" fontId="6" fillId="2" borderId="0" xfId="0" applyFont="1" applyFill="1"/>
    <xf numFmtId="164" fontId="6" fillId="0" borderId="0" xfId="0" applyNumberFormat="1" applyFont="1"/>
    <xf numFmtId="0" fontId="13"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8" fillId="0" borderId="0" xfId="0" applyFont="1" applyAlignment="1">
      <alignment horizontal="center" vertical="center" wrapText="1"/>
    </xf>
    <xf numFmtId="0" fontId="6" fillId="0" borderId="0" xfId="0" applyFont="1"/>
    <xf numFmtId="0" fontId="9" fillId="0" borderId="0" xfId="0" applyFont="1" applyAlignment="1">
      <alignment horizontal="left" vertical="top"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9" fillId="0" borderId="0" xfId="0" applyFont="1" applyAlignment="1">
      <alignment horizontal="center"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0" xfId="0" applyFont="1" applyAlignment="1">
      <alignment vertical="top"/>
    </xf>
    <xf numFmtId="0" fontId="6" fillId="0" borderId="1" xfId="0" quotePrefix="1" applyFont="1" applyBorder="1" applyAlignment="1">
      <alignment horizontal="left" vertical="center" wrapText="1"/>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83820</xdr:colOff>
      <xdr:row>3</xdr:row>
      <xdr:rowOff>320040</xdr:rowOff>
    </xdr:from>
    <xdr:to>
      <xdr:col>9</xdr:col>
      <xdr:colOff>321278</xdr:colOff>
      <xdr:row>3</xdr:row>
      <xdr:rowOff>3246120</xdr:rowOff>
    </xdr:to>
    <xdr:pic>
      <xdr:nvPicPr>
        <xdr:cNvPr id="2" name="Picture 1">
          <a:extLst>
            <a:ext uri="{FF2B5EF4-FFF2-40B4-BE49-F238E27FC236}">
              <a16:creationId xmlns:a16="http://schemas.microsoft.com/office/drawing/2014/main" id="{E1A65F77-8023-84A6-90BC-26E59492EEA7}"/>
            </a:ext>
          </a:extLst>
        </xdr:cNvPr>
        <xdr:cNvPicPr>
          <a:picLocks noChangeAspect="1"/>
        </xdr:cNvPicPr>
      </xdr:nvPicPr>
      <xdr:blipFill>
        <a:blip xmlns:r="http://schemas.openxmlformats.org/officeDocument/2006/relationships" r:embed="rId1"/>
        <a:stretch>
          <a:fillRect/>
        </a:stretch>
      </xdr:blipFill>
      <xdr:spPr>
        <a:xfrm>
          <a:off x="12702540" y="1386840"/>
          <a:ext cx="2683478" cy="2926080"/>
        </a:xfrm>
        <a:prstGeom prst="rect">
          <a:avLst/>
        </a:prstGeom>
      </xdr:spPr>
    </xdr:pic>
    <xdr:clientData/>
  </xdr:twoCellAnchor>
  <xdr:twoCellAnchor editAs="oneCell">
    <xdr:from>
      <xdr:col>7</xdr:col>
      <xdr:colOff>163286</xdr:colOff>
      <xdr:row>5</xdr:row>
      <xdr:rowOff>54428</xdr:rowOff>
    </xdr:from>
    <xdr:to>
      <xdr:col>11</xdr:col>
      <xdr:colOff>399143</xdr:colOff>
      <xdr:row>5</xdr:row>
      <xdr:rowOff>2817931</xdr:rowOff>
    </xdr:to>
    <xdr:pic>
      <xdr:nvPicPr>
        <xdr:cNvPr id="5" name="Picture 4">
          <a:extLst>
            <a:ext uri="{FF2B5EF4-FFF2-40B4-BE49-F238E27FC236}">
              <a16:creationId xmlns:a16="http://schemas.microsoft.com/office/drawing/2014/main" id="{CBA7A317-6FAF-F5BB-F60B-56CC1E8B940E}"/>
            </a:ext>
          </a:extLst>
        </xdr:cNvPr>
        <xdr:cNvPicPr>
          <a:picLocks noChangeAspect="1"/>
        </xdr:cNvPicPr>
      </xdr:nvPicPr>
      <xdr:blipFill>
        <a:blip xmlns:r="http://schemas.openxmlformats.org/officeDocument/2006/relationships" r:embed="rId2"/>
        <a:stretch>
          <a:fillRect/>
        </a:stretch>
      </xdr:blipFill>
      <xdr:spPr>
        <a:xfrm>
          <a:off x="12781643" y="8781142"/>
          <a:ext cx="3891643" cy="2763503"/>
        </a:xfrm>
        <a:prstGeom prst="rect">
          <a:avLst/>
        </a:prstGeom>
      </xdr:spPr>
    </xdr:pic>
    <xdr:clientData/>
  </xdr:twoCellAnchor>
  <xdr:twoCellAnchor editAs="oneCell">
    <xdr:from>
      <xdr:col>7</xdr:col>
      <xdr:colOff>108857</xdr:colOff>
      <xdr:row>6</xdr:row>
      <xdr:rowOff>126999</xdr:rowOff>
    </xdr:from>
    <xdr:to>
      <xdr:col>11</xdr:col>
      <xdr:colOff>335643</xdr:colOff>
      <xdr:row>6</xdr:row>
      <xdr:rowOff>965635</xdr:rowOff>
    </xdr:to>
    <xdr:pic>
      <xdr:nvPicPr>
        <xdr:cNvPr id="6" name="Picture 5">
          <a:extLst>
            <a:ext uri="{FF2B5EF4-FFF2-40B4-BE49-F238E27FC236}">
              <a16:creationId xmlns:a16="http://schemas.microsoft.com/office/drawing/2014/main" id="{4EC68D10-6A67-B1BF-3868-B67A310C9075}"/>
            </a:ext>
          </a:extLst>
        </xdr:cNvPr>
        <xdr:cNvPicPr>
          <a:picLocks noChangeAspect="1"/>
        </xdr:cNvPicPr>
      </xdr:nvPicPr>
      <xdr:blipFill>
        <a:blip xmlns:r="http://schemas.openxmlformats.org/officeDocument/2006/relationships" r:embed="rId3"/>
        <a:stretch>
          <a:fillRect/>
        </a:stretch>
      </xdr:blipFill>
      <xdr:spPr>
        <a:xfrm>
          <a:off x="12727214" y="12228285"/>
          <a:ext cx="3882572" cy="838636"/>
        </a:xfrm>
        <a:prstGeom prst="rect">
          <a:avLst/>
        </a:prstGeom>
      </xdr:spPr>
    </xdr:pic>
    <xdr:clientData/>
  </xdr:twoCellAnchor>
  <xdr:twoCellAnchor editAs="oneCell">
    <xdr:from>
      <xdr:col>7</xdr:col>
      <xdr:colOff>117929</xdr:colOff>
      <xdr:row>6</xdr:row>
      <xdr:rowOff>970643</xdr:rowOff>
    </xdr:from>
    <xdr:to>
      <xdr:col>11</xdr:col>
      <xdr:colOff>117929</xdr:colOff>
      <xdr:row>6</xdr:row>
      <xdr:rowOff>2580809</xdr:rowOff>
    </xdr:to>
    <xdr:pic>
      <xdr:nvPicPr>
        <xdr:cNvPr id="7" name="Picture 6">
          <a:extLst>
            <a:ext uri="{FF2B5EF4-FFF2-40B4-BE49-F238E27FC236}">
              <a16:creationId xmlns:a16="http://schemas.microsoft.com/office/drawing/2014/main" id="{9804AFC8-DFB3-5721-CAFC-D5B80B74F1EE}"/>
            </a:ext>
          </a:extLst>
        </xdr:cNvPr>
        <xdr:cNvPicPr>
          <a:picLocks noChangeAspect="1"/>
        </xdr:cNvPicPr>
      </xdr:nvPicPr>
      <xdr:blipFill>
        <a:blip xmlns:r="http://schemas.openxmlformats.org/officeDocument/2006/relationships" r:embed="rId4"/>
        <a:stretch>
          <a:fillRect/>
        </a:stretch>
      </xdr:blipFill>
      <xdr:spPr>
        <a:xfrm>
          <a:off x="12736286" y="13071929"/>
          <a:ext cx="3655786" cy="1610166"/>
        </a:xfrm>
        <a:prstGeom prst="rect">
          <a:avLst/>
        </a:prstGeom>
      </xdr:spPr>
    </xdr:pic>
    <xdr:clientData/>
  </xdr:twoCellAnchor>
  <xdr:twoCellAnchor editAs="oneCell">
    <xdr:from>
      <xdr:col>7</xdr:col>
      <xdr:colOff>190501</xdr:colOff>
      <xdr:row>7</xdr:row>
      <xdr:rowOff>879930</xdr:rowOff>
    </xdr:from>
    <xdr:to>
      <xdr:col>13</xdr:col>
      <xdr:colOff>517072</xdr:colOff>
      <xdr:row>7</xdr:row>
      <xdr:rowOff>1917056</xdr:rowOff>
    </xdr:to>
    <xdr:pic>
      <xdr:nvPicPr>
        <xdr:cNvPr id="8" name="Picture 7">
          <a:extLst>
            <a:ext uri="{FF2B5EF4-FFF2-40B4-BE49-F238E27FC236}">
              <a16:creationId xmlns:a16="http://schemas.microsoft.com/office/drawing/2014/main" id="{81073999-7406-D18F-FAD1-E9A151E920BF}"/>
            </a:ext>
          </a:extLst>
        </xdr:cNvPr>
        <xdr:cNvPicPr>
          <a:picLocks noChangeAspect="1"/>
        </xdr:cNvPicPr>
      </xdr:nvPicPr>
      <xdr:blipFill>
        <a:blip xmlns:r="http://schemas.openxmlformats.org/officeDocument/2006/relationships" r:embed="rId5"/>
        <a:stretch>
          <a:fillRect/>
        </a:stretch>
      </xdr:blipFill>
      <xdr:spPr>
        <a:xfrm>
          <a:off x="12808858" y="15621001"/>
          <a:ext cx="5197928" cy="1037126"/>
        </a:xfrm>
        <a:prstGeom prst="rect">
          <a:avLst/>
        </a:prstGeom>
      </xdr:spPr>
    </xdr:pic>
    <xdr:clientData/>
  </xdr:twoCellAnchor>
  <xdr:twoCellAnchor editAs="oneCell">
    <xdr:from>
      <xdr:col>7</xdr:col>
      <xdr:colOff>99785</xdr:colOff>
      <xdr:row>8</xdr:row>
      <xdr:rowOff>136071</xdr:rowOff>
    </xdr:from>
    <xdr:to>
      <xdr:col>12</xdr:col>
      <xdr:colOff>22314</xdr:colOff>
      <xdr:row>8</xdr:row>
      <xdr:rowOff>2050143</xdr:rowOff>
    </xdr:to>
    <xdr:pic>
      <xdr:nvPicPr>
        <xdr:cNvPr id="9" name="Picture 8">
          <a:extLst>
            <a:ext uri="{FF2B5EF4-FFF2-40B4-BE49-F238E27FC236}">
              <a16:creationId xmlns:a16="http://schemas.microsoft.com/office/drawing/2014/main" id="{BC08DE34-8A00-98D3-00EF-1E3842DE2BC6}"/>
            </a:ext>
          </a:extLst>
        </xdr:cNvPr>
        <xdr:cNvPicPr>
          <a:picLocks noChangeAspect="1"/>
        </xdr:cNvPicPr>
      </xdr:nvPicPr>
      <xdr:blipFill>
        <a:blip xmlns:r="http://schemas.openxmlformats.org/officeDocument/2006/relationships" r:embed="rId6"/>
        <a:stretch>
          <a:fillRect/>
        </a:stretch>
      </xdr:blipFill>
      <xdr:spPr>
        <a:xfrm>
          <a:off x="12718142" y="18043071"/>
          <a:ext cx="4186101" cy="1914072"/>
        </a:xfrm>
        <a:prstGeom prst="rect">
          <a:avLst/>
        </a:prstGeom>
      </xdr:spPr>
    </xdr:pic>
    <xdr:clientData/>
  </xdr:twoCellAnchor>
  <xdr:twoCellAnchor editAs="oneCell">
    <xdr:from>
      <xdr:col>7</xdr:col>
      <xdr:colOff>136071</xdr:colOff>
      <xdr:row>9</xdr:row>
      <xdr:rowOff>117930</xdr:rowOff>
    </xdr:from>
    <xdr:to>
      <xdr:col>13</xdr:col>
      <xdr:colOff>308429</xdr:colOff>
      <xdr:row>9</xdr:row>
      <xdr:rowOff>1015033</xdr:rowOff>
    </xdr:to>
    <xdr:pic>
      <xdr:nvPicPr>
        <xdr:cNvPr id="10" name="Picture 9">
          <a:extLst>
            <a:ext uri="{FF2B5EF4-FFF2-40B4-BE49-F238E27FC236}">
              <a16:creationId xmlns:a16="http://schemas.microsoft.com/office/drawing/2014/main" id="{87E60371-210B-B3F2-8C8C-115944C56FD3}"/>
            </a:ext>
          </a:extLst>
        </xdr:cNvPr>
        <xdr:cNvPicPr>
          <a:picLocks noChangeAspect="1"/>
        </xdr:cNvPicPr>
      </xdr:nvPicPr>
      <xdr:blipFill>
        <a:blip xmlns:r="http://schemas.openxmlformats.org/officeDocument/2006/relationships" r:embed="rId7"/>
        <a:stretch>
          <a:fillRect/>
        </a:stretch>
      </xdr:blipFill>
      <xdr:spPr>
        <a:xfrm>
          <a:off x="12754428" y="20955001"/>
          <a:ext cx="5043715" cy="897103"/>
        </a:xfrm>
        <a:prstGeom prst="rect">
          <a:avLst/>
        </a:prstGeom>
      </xdr:spPr>
    </xdr:pic>
    <xdr:clientData/>
  </xdr:twoCellAnchor>
  <xdr:twoCellAnchor editAs="oneCell">
    <xdr:from>
      <xdr:col>7</xdr:col>
      <xdr:colOff>290286</xdr:colOff>
      <xdr:row>9</xdr:row>
      <xdr:rowOff>1315357</xdr:rowOff>
    </xdr:from>
    <xdr:to>
      <xdr:col>11</xdr:col>
      <xdr:colOff>244928</xdr:colOff>
      <xdr:row>9</xdr:row>
      <xdr:rowOff>2965000</xdr:rowOff>
    </xdr:to>
    <xdr:pic>
      <xdr:nvPicPr>
        <xdr:cNvPr id="11" name="Picture 10">
          <a:extLst>
            <a:ext uri="{FF2B5EF4-FFF2-40B4-BE49-F238E27FC236}">
              <a16:creationId xmlns:a16="http://schemas.microsoft.com/office/drawing/2014/main" id="{75C89573-6459-F01F-A063-E3C6F7B3906A}"/>
            </a:ext>
          </a:extLst>
        </xdr:cNvPr>
        <xdr:cNvPicPr>
          <a:picLocks noChangeAspect="1"/>
        </xdr:cNvPicPr>
      </xdr:nvPicPr>
      <xdr:blipFill>
        <a:blip xmlns:r="http://schemas.openxmlformats.org/officeDocument/2006/relationships" r:embed="rId8"/>
        <a:stretch>
          <a:fillRect/>
        </a:stretch>
      </xdr:blipFill>
      <xdr:spPr>
        <a:xfrm>
          <a:off x="12908643" y="22152428"/>
          <a:ext cx="3610428" cy="1649643"/>
        </a:xfrm>
        <a:prstGeom prst="rect">
          <a:avLst/>
        </a:prstGeom>
      </xdr:spPr>
    </xdr:pic>
    <xdr:clientData/>
  </xdr:twoCellAnchor>
  <xdr:twoCellAnchor editAs="oneCell">
    <xdr:from>
      <xdr:col>7</xdr:col>
      <xdr:colOff>36286</xdr:colOff>
      <xdr:row>10</xdr:row>
      <xdr:rowOff>49544</xdr:rowOff>
    </xdr:from>
    <xdr:to>
      <xdr:col>13</xdr:col>
      <xdr:colOff>435429</xdr:colOff>
      <xdr:row>10</xdr:row>
      <xdr:rowOff>1029431</xdr:rowOff>
    </xdr:to>
    <xdr:pic>
      <xdr:nvPicPr>
        <xdr:cNvPr id="12" name="Picture 11">
          <a:extLst>
            <a:ext uri="{FF2B5EF4-FFF2-40B4-BE49-F238E27FC236}">
              <a16:creationId xmlns:a16="http://schemas.microsoft.com/office/drawing/2014/main" id="{12802261-0A29-EC56-94FC-623322CD4480}"/>
            </a:ext>
          </a:extLst>
        </xdr:cNvPr>
        <xdr:cNvPicPr>
          <a:picLocks noChangeAspect="1"/>
        </xdr:cNvPicPr>
      </xdr:nvPicPr>
      <xdr:blipFill>
        <a:blip xmlns:r="http://schemas.openxmlformats.org/officeDocument/2006/relationships" r:embed="rId9"/>
        <a:stretch>
          <a:fillRect/>
        </a:stretch>
      </xdr:blipFill>
      <xdr:spPr>
        <a:xfrm>
          <a:off x="12654643" y="24261187"/>
          <a:ext cx="5270500" cy="979887"/>
        </a:xfrm>
        <a:prstGeom prst="rect">
          <a:avLst/>
        </a:prstGeom>
      </xdr:spPr>
    </xdr:pic>
    <xdr:clientData/>
  </xdr:twoCellAnchor>
  <xdr:twoCellAnchor editAs="oneCell">
    <xdr:from>
      <xdr:col>7</xdr:col>
      <xdr:colOff>81645</xdr:colOff>
      <xdr:row>10</xdr:row>
      <xdr:rowOff>1106715</xdr:rowOff>
    </xdr:from>
    <xdr:to>
      <xdr:col>10</xdr:col>
      <xdr:colOff>172359</xdr:colOff>
      <xdr:row>10</xdr:row>
      <xdr:rowOff>3281572</xdr:rowOff>
    </xdr:to>
    <xdr:pic>
      <xdr:nvPicPr>
        <xdr:cNvPr id="13" name="Picture 12">
          <a:extLst>
            <a:ext uri="{FF2B5EF4-FFF2-40B4-BE49-F238E27FC236}">
              <a16:creationId xmlns:a16="http://schemas.microsoft.com/office/drawing/2014/main" id="{D58E763E-B702-C56A-A240-721047A38D73}"/>
            </a:ext>
          </a:extLst>
        </xdr:cNvPr>
        <xdr:cNvPicPr>
          <a:picLocks noChangeAspect="1"/>
        </xdr:cNvPicPr>
      </xdr:nvPicPr>
      <xdr:blipFill>
        <a:blip xmlns:r="http://schemas.openxmlformats.org/officeDocument/2006/relationships" r:embed="rId10"/>
        <a:stretch>
          <a:fillRect/>
        </a:stretch>
      </xdr:blipFill>
      <xdr:spPr>
        <a:xfrm>
          <a:off x="12700002" y="25318358"/>
          <a:ext cx="3138714" cy="2174857"/>
        </a:xfrm>
        <a:prstGeom prst="rect">
          <a:avLst/>
        </a:prstGeom>
      </xdr:spPr>
    </xdr:pic>
    <xdr:clientData/>
  </xdr:twoCellAnchor>
  <xdr:twoCellAnchor editAs="oneCell">
    <xdr:from>
      <xdr:col>7</xdr:col>
      <xdr:colOff>116307</xdr:colOff>
      <xdr:row>11</xdr:row>
      <xdr:rowOff>716643</xdr:rowOff>
    </xdr:from>
    <xdr:to>
      <xdr:col>16</xdr:col>
      <xdr:colOff>462642</xdr:colOff>
      <xdr:row>11</xdr:row>
      <xdr:rowOff>1306287</xdr:rowOff>
    </xdr:to>
    <xdr:pic>
      <xdr:nvPicPr>
        <xdr:cNvPr id="14" name="Picture 13">
          <a:extLst>
            <a:ext uri="{FF2B5EF4-FFF2-40B4-BE49-F238E27FC236}">
              <a16:creationId xmlns:a16="http://schemas.microsoft.com/office/drawing/2014/main" id="{F29DCBE8-00D7-F58B-7483-E20556BD41CB}"/>
            </a:ext>
          </a:extLst>
        </xdr:cNvPr>
        <xdr:cNvPicPr>
          <a:picLocks noChangeAspect="1"/>
        </xdr:cNvPicPr>
      </xdr:nvPicPr>
      <xdr:blipFill>
        <a:blip xmlns:r="http://schemas.openxmlformats.org/officeDocument/2006/relationships" r:embed="rId11"/>
        <a:stretch>
          <a:fillRect/>
        </a:stretch>
      </xdr:blipFill>
      <xdr:spPr>
        <a:xfrm>
          <a:off x="12734664" y="28284714"/>
          <a:ext cx="7041049" cy="589644"/>
        </a:xfrm>
        <a:prstGeom prst="rect">
          <a:avLst/>
        </a:prstGeom>
      </xdr:spPr>
    </xdr:pic>
    <xdr:clientData/>
  </xdr:twoCellAnchor>
  <xdr:twoCellAnchor editAs="oneCell">
    <xdr:from>
      <xdr:col>7</xdr:col>
      <xdr:colOff>172356</xdr:colOff>
      <xdr:row>12</xdr:row>
      <xdr:rowOff>371930</xdr:rowOff>
    </xdr:from>
    <xdr:to>
      <xdr:col>12</xdr:col>
      <xdr:colOff>471713</xdr:colOff>
      <xdr:row>12</xdr:row>
      <xdr:rowOff>1276056</xdr:rowOff>
    </xdr:to>
    <xdr:pic>
      <xdr:nvPicPr>
        <xdr:cNvPr id="15" name="Picture 14">
          <a:extLst>
            <a:ext uri="{FF2B5EF4-FFF2-40B4-BE49-F238E27FC236}">
              <a16:creationId xmlns:a16="http://schemas.microsoft.com/office/drawing/2014/main" id="{3323AA0E-495D-F7F8-B812-82E2F09BD857}"/>
            </a:ext>
          </a:extLst>
        </xdr:cNvPr>
        <xdr:cNvPicPr>
          <a:picLocks noChangeAspect="1"/>
        </xdr:cNvPicPr>
      </xdr:nvPicPr>
      <xdr:blipFill>
        <a:blip xmlns:r="http://schemas.openxmlformats.org/officeDocument/2006/relationships" r:embed="rId12"/>
        <a:stretch>
          <a:fillRect/>
        </a:stretch>
      </xdr:blipFill>
      <xdr:spPr>
        <a:xfrm>
          <a:off x="12790713" y="31232930"/>
          <a:ext cx="4562929" cy="904126"/>
        </a:xfrm>
        <a:prstGeom prst="rect">
          <a:avLst/>
        </a:prstGeom>
      </xdr:spPr>
    </xdr:pic>
    <xdr:clientData/>
  </xdr:twoCellAnchor>
  <xdr:twoCellAnchor editAs="oneCell">
    <xdr:from>
      <xdr:col>7</xdr:col>
      <xdr:colOff>108856</xdr:colOff>
      <xdr:row>13</xdr:row>
      <xdr:rowOff>226785</xdr:rowOff>
    </xdr:from>
    <xdr:to>
      <xdr:col>13</xdr:col>
      <xdr:colOff>300091</xdr:colOff>
      <xdr:row>13</xdr:row>
      <xdr:rowOff>2540000</xdr:rowOff>
    </xdr:to>
    <xdr:pic>
      <xdr:nvPicPr>
        <xdr:cNvPr id="16" name="Picture 15">
          <a:extLst>
            <a:ext uri="{FF2B5EF4-FFF2-40B4-BE49-F238E27FC236}">
              <a16:creationId xmlns:a16="http://schemas.microsoft.com/office/drawing/2014/main" id="{EE51832F-DB75-5FF0-3962-88F41003D1E0}"/>
            </a:ext>
          </a:extLst>
        </xdr:cNvPr>
        <xdr:cNvPicPr>
          <a:picLocks noChangeAspect="1"/>
        </xdr:cNvPicPr>
      </xdr:nvPicPr>
      <xdr:blipFill>
        <a:blip xmlns:r="http://schemas.openxmlformats.org/officeDocument/2006/relationships" r:embed="rId13"/>
        <a:stretch>
          <a:fillRect/>
        </a:stretch>
      </xdr:blipFill>
      <xdr:spPr>
        <a:xfrm>
          <a:off x="12727213" y="33101642"/>
          <a:ext cx="5062592" cy="2313215"/>
        </a:xfrm>
        <a:prstGeom prst="rect">
          <a:avLst/>
        </a:prstGeom>
      </xdr:spPr>
    </xdr:pic>
    <xdr:clientData/>
  </xdr:twoCellAnchor>
  <xdr:twoCellAnchor editAs="oneCell">
    <xdr:from>
      <xdr:col>7</xdr:col>
      <xdr:colOff>45357</xdr:colOff>
      <xdr:row>14</xdr:row>
      <xdr:rowOff>70759</xdr:rowOff>
    </xdr:from>
    <xdr:to>
      <xdr:col>11</xdr:col>
      <xdr:colOff>460884</xdr:colOff>
      <xdr:row>14</xdr:row>
      <xdr:rowOff>1783443</xdr:rowOff>
    </xdr:to>
    <xdr:pic>
      <xdr:nvPicPr>
        <xdr:cNvPr id="17" name="Picture 16">
          <a:extLst>
            <a:ext uri="{FF2B5EF4-FFF2-40B4-BE49-F238E27FC236}">
              <a16:creationId xmlns:a16="http://schemas.microsoft.com/office/drawing/2014/main" id="{BB3C43FD-2DAF-81A2-5024-13ACB985A55E}"/>
            </a:ext>
          </a:extLst>
        </xdr:cNvPr>
        <xdr:cNvPicPr>
          <a:picLocks noChangeAspect="1"/>
        </xdr:cNvPicPr>
      </xdr:nvPicPr>
      <xdr:blipFill>
        <a:blip xmlns:r="http://schemas.openxmlformats.org/officeDocument/2006/relationships" r:embed="rId14"/>
        <a:stretch>
          <a:fillRect/>
        </a:stretch>
      </xdr:blipFill>
      <xdr:spPr>
        <a:xfrm>
          <a:off x="12661900" y="35906530"/>
          <a:ext cx="4084013" cy="1712684"/>
        </a:xfrm>
        <a:prstGeom prst="rect">
          <a:avLst/>
        </a:prstGeom>
      </xdr:spPr>
    </xdr:pic>
    <xdr:clientData/>
  </xdr:twoCellAnchor>
  <xdr:twoCellAnchor editAs="oneCell">
    <xdr:from>
      <xdr:col>7</xdr:col>
      <xdr:colOff>59872</xdr:colOff>
      <xdr:row>14</xdr:row>
      <xdr:rowOff>1808842</xdr:rowOff>
    </xdr:from>
    <xdr:to>
      <xdr:col>10</xdr:col>
      <xdr:colOff>141915</xdr:colOff>
      <xdr:row>14</xdr:row>
      <xdr:rowOff>3731985</xdr:rowOff>
    </xdr:to>
    <xdr:pic>
      <xdr:nvPicPr>
        <xdr:cNvPr id="18" name="Picture 17">
          <a:extLst>
            <a:ext uri="{FF2B5EF4-FFF2-40B4-BE49-F238E27FC236}">
              <a16:creationId xmlns:a16="http://schemas.microsoft.com/office/drawing/2014/main" id="{B4E7CAEA-0D04-94E0-BED4-0293A839673A}"/>
            </a:ext>
          </a:extLst>
        </xdr:cNvPr>
        <xdr:cNvPicPr>
          <a:picLocks noChangeAspect="1"/>
        </xdr:cNvPicPr>
      </xdr:nvPicPr>
      <xdr:blipFill>
        <a:blip xmlns:r="http://schemas.openxmlformats.org/officeDocument/2006/relationships" r:embed="rId15"/>
        <a:stretch>
          <a:fillRect/>
        </a:stretch>
      </xdr:blipFill>
      <xdr:spPr>
        <a:xfrm>
          <a:off x="12676415" y="37644613"/>
          <a:ext cx="3140929" cy="1923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B27" sqref="B27"/>
    </sheetView>
  </sheetViews>
  <sheetFormatPr defaultColWidth="8.77734375" defaultRowHeight="13.8" x14ac:dyDescent="0.25"/>
  <cols>
    <col min="1" max="1" width="25" style="9" customWidth="1"/>
    <col min="2" max="2" width="40" style="9" customWidth="1"/>
    <col min="3" max="3" width="15" style="9" customWidth="1"/>
    <col min="4" max="4" width="30" style="9" customWidth="1"/>
    <col min="5" max="6" width="20" style="9" customWidth="1"/>
    <col min="7" max="16384" width="8.77734375" style="9"/>
  </cols>
  <sheetData>
    <row r="1" spans="1:6" x14ac:dyDescent="0.25">
      <c r="A1" s="28" t="s">
        <v>0</v>
      </c>
      <c r="B1" s="29"/>
      <c r="C1" s="29"/>
      <c r="D1" s="29"/>
      <c r="E1" s="29"/>
      <c r="F1" s="29"/>
    </row>
    <row r="3" spans="1:6" ht="17.399999999999999" x14ac:dyDescent="0.3">
      <c r="A3" s="13" t="s">
        <v>1</v>
      </c>
    </row>
    <row r="4" spans="1:6" x14ac:dyDescent="0.25">
      <c r="A4" s="14" t="s">
        <v>2</v>
      </c>
      <c r="C4" s="9" t="s">
        <v>106</v>
      </c>
    </row>
    <row r="5" spans="1:6" x14ac:dyDescent="0.25">
      <c r="A5" s="14" t="s">
        <v>3</v>
      </c>
      <c r="C5" s="9" t="s">
        <v>107</v>
      </c>
    </row>
    <row r="6" spans="1:6" x14ac:dyDescent="0.25">
      <c r="A6" s="14" t="s">
        <v>4</v>
      </c>
      <c r="C6" s="9" t="s">
        <v>108</v>
      </c>
    </row>
    <row r="7" spans="1:6" x14ac:dyDescent="0.25">
      <c r="A7" s="14" t="s">
        <v>5</v>
      </c>
      <c r="C7" s="9" t="s">
        <v>109</v>
      </c>
    </row>
    <row r="9" spans="1:6" ht="17.399999999999999" x14ac:dyDescent="0.3">
      <c r="A9" s="13" t="s">
        <v>6</v>
      </c>
    </row>
    <row r="10" spans="1:6" x14ac:dyDescent="0.25">
      <c r="A10" s="14" t="s">
        <v>7</v>
      </c>
      <c r="C10" s="9">
        <v>65</v>
      </c>
    </row>
    <row r="11" spans="1:6" x14ac:dyDescent="0.25">
      <c r="A11" s="14" t="s">
        <v>8</v>
      </c>
      <c r="C11" s="15">
        <v>12</v>
      </c>
    </row>
    <row r="12" spans="1:6" x14ac:dyDescent="0.25">
      <c r="A12" s="14" t="s">
        <v>9</v>
      </c>
      <c r="C12" s="16">
        <f>C11/C10</f>
        <v>0.18461538461538463</v>
      </c>
      <c r="E12" s="17" t="s">
        <v>10</v>
      </c>
    </row>
    <row r="13" spans="1:6" x14ac:dyDescent="0.25">
      <c r="A13" s="14" t="s">
        <v>11</v>
      </c>
      <c r="C13" s="15">
        <v>4</v>
      </c>
    </row>
    <row r="15" spans="1:6" ht="17.399999999999999" x14ac:dyDescent="0.3">
      <c r="A15" s="13" t="s">
        <v>12</v>
      </c>
    </row>
    <row r="16" spans="1:6" x14ac:dyDescent="0.25">
      <c r="A16" s="10" t="s">
        <v>13</v>
      </c>
      <c r="B16" s="10" t="s">
        <v>14</v>
      </c>
      <c r="C16" s="10" t="s">
        <v>15</v>
      </c>
      <c r="D16" s="10" t="s">
        <v>16</v>
      </c>
    </row>
    <row r="17" spans="1:4" ht="96.6" x14ac:dyDescent="0.25">
      <c r="A17" s="12" t="s">
        <v>19</v>
      </c>
      <c r="B17" s="12" t="s">
        <v>110</v>
      </c>
      <c r="C17" s="12" t="s">
        <v>18</v>
      </c>
      <c r="D17" s="12" t="s">
        <v>111</v>
      </c>
    </row>
    <row r="18" spans="1:4" ht="55.2" x14ac:dyDescent="0.25">
      <c r="A18" s="12" t="s">
        <v>17</v>
      </c>
      <c r="B18" s="12" t="s">
        <v>112</v>
      </c>
      <c r="C18" s="12" t="s">
        <v>20</v>
      </c>
      <c r="D18" s="12" t="s">
        <v>113</v>
      </c>
    </row>
    <row r="19" spans="1:4" x14ac:dyDescent="0.25">
      <c r="A19" s="12"/>
      <c r="B19" s="12"/>
      <c r="C19" s="12"/>
      <c r="D19" s="12"/>
    </row>
    <row r="20" spans="1:4" x14ac:dyDescent="0.25">
      <c r="A20" s="12"/>
      <c r="B20" s="12"/>
      <c r="C20" s="12"/>
      <c r="D20" s="12"/>
    </row>
    <row r="22" spans="1:4" ht="17.399999999999999" x14ac:dyDescent="0.3">
      <c r="A22" s="13" t="s">
        <v>21</v>
      </c>
    </row>
    <row r="23" spans="1:4" x14ac:dyDescent="0.25">
      <c r="A23" s="10" t="s">
        <v>22</v>
      </c>
      <c r="B23" s="10" t="s">
        <v>23</v>
      </c>
      <c r="C23" s="10" t="s">
        <v>24</v>
      </c>
    </row>
    <row r="24" spans="1:4" x14ac:dyDescent="0.25">
      <c r="A24" s="12" t="s">
        <v>25</v>
      </c>
      <c r="B24" s="18">
        <v>3</v>
      </c>
      <c r="C24" s="19" t="s">
        <v>26</v>
      </c>
    </row>
    <row r="25" spans="1:4" x14ac:dyDescent="0.25">
      <c r="A25" s="12" t="s">
        <v>27</v>
      </c>
      <c r="B25" s="18">
        <v>3</v>
      </c>
      <c r="C25" s="19" t="s">
        <v>26</v>
      </c>
    </row>
    <row r="26" spans="1:4" x14ac:dyDescent="0.25">
      <c r="A26" s="12" t="s">
        <v>28</v>
      </c>
      <c r="B26" s="18">
        <v>3</v>
      </c>
      <c r="C26" s="19" t="s">
        <v>26</v>
      </c>
    </row>
    <row r="27" spans="1:4" x14ac:dyDescent="0.25">
      <c r="A27" s="12" t="s">
        <v>29</v>
      </c>
      <c r="B27" s="18">
        <v>3</v>
      </c>
      <c r="C27" s="1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topLeftCell="A14" zoomScale="70" zoomScaleNormal="70" workbookViewId="0">
      <selection activeCell="M15" sqref="M15"/>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6.77734375" customWidth="1"/>
  </cols>
  <sheetData>
    <row r="1" spans="1:16" x14ac:dyDescent="0.3">
      <c r="A1" s="28" t="s">
        <v>30</v>
      </c>
      <c r="B1" s="29"/>
      <c r="C1" s="29"/>
      <c r="D1" s="29"/>
      <c r="E1" s="29"/>
      <c r="F1" s="29"/>
      <c r="G1" s="29"/>
      <c r="H1" s="29"/>
    </row>
    <row r="2" spans="1:16" ht="30" customHeight="1" x14ac:dyDescent="0.3">
      <c r="A2" s="30" t="s">
        <v>31</v>
      </c>
      <c r="B2" s="29"/>
      <c r="C2" s="29"/>
      <c r="D2" s="29"/>
      <c r="E2" s="29"/>
      <c r="F2" s="29"/>
      <c r="G2" s="29"/>
      <c r="H2" s="29"/>
    </row>
    <row r="3" spans="1:16" ht="40.049999999999997" customHeight="1" x14ac:dyDescent="0.3">
      <c r="A3" s="10" t="s">
        <v>32</v>
      </c>
      <c r="B3" s="10" t="s">
        <v>33</v>
      </c>
      <c r="C3" s="10" t="s">
        <v>34</v>
      </c>
      <c r="D3" s="10" t="s">
        <v>35</v>
      </c>
      <c r="E3" s="10" t="s">
        <v>36</v>
      </c>
      <c r="F3" s="10" t="s">
        <v>37</v>
      </c>
      <c r="G3" s="10" t="s">
        <v>38</v>
      </c>
      <c r="H3" s="10" t="s">
        <v>39</v>
      </c>
    </row>
    <row r="4" spans="1:16" ht="327.60000000000002" customHeight="1" x14ac:dyDescent="0.3">
      <c r="A4" s="5" t="s">
        <v>40</v>
      </c>
      <c r="B4" s="5" t="s">
        <v>41</v>
      </c>
      <c r="C4" s="6" t="s">
        <v>25</v>
      </c>
      <c r="D4" s="6" t="s">
        <v>114</v>
      </c>
      <c r="E4" s="6" t="s">
        <v>115</v>
      </c>
      <c r="F4" s="6" t="s">
        <v>116</v>
      </c>
      <c r="G4" s="7" t="s">
        <v>117</v>
      </c>
      <c r="H4" s="6"/>
    </row>
    <row r="5" spans="1:16" ht="276" customHeight="1" thickBot="1" x14ac:dyDescent="0.35">
      <c r="A5" s="5" t="s">
        <v>42</v>
      </c>
      <c r="B5" s="5" t="s">
        <v>43</v>
      </c>
      <c r="C5" s="5" t="s">
        <v>25</v>
      </c>
      <c r="D5" s="6" t="s">
        <v>118</v>
      </c>
      <c r="E5" s="6" t="s">
        <v>119</v>
      </c>
      <c r="F5" s="6" t="s">
        <v>120</v>
      </c>
      <c r="G5" s="7" t="s">
        <v>121</v>
      </c>
      <c r="H5" s="6" t="s">
        <v>122</v>
      </c>
    </row>
    <row r="6" spans="1:16" ht="265.8" customHeight="1" thickBot="1" x14ac:dyDescent="0.35">
      <c r="A6" s="11" t="s">
        <v>44</v>
      </c>
      <c r="B6" s="6" t="s">
        <v>43</v>
      </c>
      <c r="C6" s="5" t="s">
        <v>25</v>
      </c>
      <c r="D6" s="6" t="s">
        <v>123</v>
      </c>
      <c r="E6" s="6" t="s">
        <v>124</v>
      </c>
      <c r="F6" s="6" t="s">
        <v>125</v>
      </c>
      <c r="G6" s="7" t="s">
        <v>126</v>
      </c>
      <c r="H6" s="8"/>
    </row>
    <row r="7" spans="1:16" s="9" customFormat="1" ht="208.2" customHeight="1" x14ac:dyDescent="0.25">
      <c r="A7" s="11" t="s">
        <v>105</v>
      </c>
      <c r="B7" s="35" t="s">
        <v>41</v>
      </c>
      <c r="C7" s="35" t="s">
        <v>27</v>
      </c>
      <c r="D7" s="35" t="s">
        <v>135</v>
      </c>
      <c r="E7" s="35" t="s">
        <v>136</v>
      </c>
      <c r="F7" s="35" t="s">
        <v>137</v>
      </c>
      <c r="G7" s="35" t="s">
        <v>138</v>
      </c>
      <c r="H7" s="35"/>
      <c r="I7" s="36"/>
      <c r="J7" s="36"/>
      <c r="K7" s="36"/>
      <c r="L7" s="36"/>
      <c r="M7" s="36"/>
      <c r="N7" s="36"/>
      <c r="O7" s="36"/>
      <c r="P7" s="36"/>
    </row>
    <row r="8" spans="1:16" s="9" customFormat="1" ht="249.6" customHeight="1" x14ac:dyDescent="0.25">
      <c r="A8" s="11" t="s">
        <v>127</v>
      </c>
      <c r="B8" s="35" t="s">
        <v>45</v>
      </c>
      <c r="C8" s="35" t="s">
        <v>27</v>
      </c>
      <c r="D8" s="35" t="s">
        <v>139</v>
      </c>
      <c r="E8" s="35" t="s">
        <v>140</v>
      </c>
      <c r="F8" s="35" t="s">
        <v>141</v>
      </c>
      <c r="G8" s="35" t="s">
        <v>142</v>
      </c>
      <c r="H8" s="35"/>
      <c r="I8" s="36"/>
      <c r="J8" s="36"/>
      <c r="K8" s="36"/>
      <c r="L8" s="36"/>
      <c r="M8" s="36"/>
      <c r="N8" s="36"/>
      <c r="O8" s="36"/>
      <c r="P8" s="36"/>
    </row>
    <row r="9" spans="1:16" s="9" customFormat="1" ht="230.4" customHeight="1" x14ac:dyDescent="0.25">
      <c r="A9" s="11" t="s">
        <v>128</v>
      </c>
      <c r="B9" s="35" t="s">
        <v>41</v>
      </c>
      <c r="C9" s="35" t="s">
        <v>27</v>
      </c>
      <c r="D9" s="35" t="s">
        <v>143</v>
      </c>
      <c r="E9" s="35" t="s">
        <v>144</v>
      </c>
      <c r="F9" s="35" t="s">
        <v>145</v>
      </c>
      <c r="G9" s="35" t="s">
        <v>146</v>
      </c>
      <c r="H9" s="35"/>
      <c r="I9" s="36"/>
      <c r="J9" s="36"/>
      <c r="K9" s="36"/>
      <c r="L9" s="36"/>
      <c r="M9" s="36"/>
      <c r="N9" s="36"/>
      <c r="O9" s="36"/>
      <c r="P9" s="36"/>
    </row>
    <row r="10" spans="1:16" ht="265.8" customHeight="1" x14ac:dyDescent="0.3">
      <c r="A10" s="11" t="s">
        <v>129</v>
      </c>
      <c r="B10" s="35" t="s">
        <v>41</v>
      </c>
      <c r="C10" s="35" t="s">
        <v>28</v>
      </c>
      <c r="D10" s="35" t="s">
        <v>147</v>
      </c>
      <c r="E10" s="35" t="s">
        <v>148</v>
      </c>
      <c r="F10" s="35" t="s">
        <v>149</v>
      </c>
      <c r="G10" s="35" t="s">
        <v>165</v>
      </c>
      <c r="H10" s="35"/>
      <c r="I10" s="36"/>
      <c r="J10" s="36"/>
      <c r="K10" s="36"/>
      <c r="L10" s="36"/>
      <c r="M10" s="36"/>
      <c r="N10" s="36"/>
      <c r="O10" s="36"/>
      <c r="P10" s="36"/>
    </row>
    <row r="11" spans="1:16" ht="264" customHeight="1" x14ac:dyDescent="0.3">
      <c r="A11" s="11" t="s">
        <v>130</v>
      </c>
      <c r="B11" s="35" t="s">
        <v>41</v>
      </c>
      <c r="C11" s="35" t="s">
        <v>28</v>
      </c>
      <c r="D11" s="35" t="s">
        <v>150</v>
      </c>
      <c r="E11" s="35" t="s">
        <v>151</v>
      </c>
      <c r="F11" s="35" t="s">
        <v>152</v>
      </c>
      <c r="G11" s="35" t="s">
        <v>166</v>
      </c>
      <c r="H11" s="35"/>
      <c r="I11" s="36"/>
      <c r="J11" s="36"/>
      <c r="K11" s="36"/>
      <c r="L11" s="36"/>
      <c r="M11" s="36"/>
      <c r="N11" s="36"/>
      <c r="O11" s="36"/>
      <c r="P11" s="36"/>
    </row>
    <row r="12" spans="1:16" ht="248.4" x14ac:dyDescent="0.3">
      <c r="A12" s="11" t="s">
        <v>131</v>
      </c>
      <c r="B12" s="35" t="s">
        <v>41</v>
      </c>
      <c r="C12" s="35" t="s">
        <v>28</v>
      </c>
      <c r="D12" s="35" t="s">
        <v>153</v>
      </c>
      <c r="E12" s="35" t="s">
        <v>154</v>
      </c>
      <c r="F12" s="35" t="s">
        <v>155</v>
      </c>
      <c r="G12" s="35" t="s">
        <v>167</v>
      </c>
      <c r="H12" s="35"/>
      <c r="I12" s="36"/>
      <c r="J12" s="36"/>
      <c r="K12" s="36"/>
      <c r="L12" s="36"/>
      <c r="M12" s="36"/>
      <c r="N12" s="36"/>
      <c r="O12" s="36"/>
      <c r="P12" s="36"/>
    </row>
    <row r="13" spans="1:16" ht="158.4" customHeight="1" x14ac:dyDescent="0.3">
      <c r="A13" s="11" t="s">
        <v>132</v>
      </c>
      <c r="B13" s="35" t="s">
        <v>43</v>
      </c>
      <c r="C13" s="35" t="s">
        <v>29</v>
      </c>
      <c r="D13" s="35" t="s">
        <v>156</v>
      </c>
      <c r="E13" s="35" t="s">
        <v>157</v>
      </c>
      <c r="F13" s="35" t="s">
        <v>158</v>
      </c>
      <c r="G13" s="35" t="s">
        <v>168</v>
      </c>
      <c r="H13" s="35"/>
      <c r="I13" s="36"/>
      <c r="J13" s="36"/>
      <c r="K13" s="36"/>
      <c r="L13" s="36"/>
      <c r="M13" s="36"/>
      <c r="N13" s="36"/>
      <c r="O13" s="36"/>
      <c r="P13" s="36"/>
    </row>
    <row r="14" spans="1:16" ht="243" customHeight="1" x14ac:dyDescent="0.3">
      <c r="A14" s="11" t="s">
        <v>133</v>
      </c>
      <c r="B14" s="35" t="s">
        <v>43</v>
      </c>
      <c r="C14" s="35" t="s">
        <v>29</v>
      </c>
      <c r="D14" s="35" t="s">
        <v>159</v>
      </c>
      <c r="E14" s="35" t="s">
        <v>160</v>
      </c>
      <c r="F14" s="35" t="s">
        <v>161</v>
      </c>
      <c r="G14" s="35" t="s">
        <v>169</v>
      </c>
      <c r="H14" s="35"/>
      <c r="I14" s="36"/>
      <c r="J14" s="36"/>
      <c r="K14" s="36"/>
      <c r="L14" s="36"/>
      <c r="M14" s="36"/>
      <c r="N14" s="36"/>
      <c r="O14" s="36"/>
      <c r="P14" s="36"/>
    </row>
    <row r="15" spans="1:16" ht="295.2" customHeight="1" x14ac:dyDescent="0.3">
      <c r="A15" s="11" t="s">
        <v>134</v>
      </c>
      <c r="B15" s="35" t="s">
        <v>43</v>
      </c>
      <c r="C15" s="35" t="s">
        <v>29</v>
      </c>
      <c r="D15" s="35" t="s">
        <v>162</v>
      </c>
      <c r="E15" s="35" t="s">
        <v>163</v>
      </c>
      <c r="F15" s="35" t="s">
        <v>164</v>
      </c>
      <c r="G15" s="35" t="s">
        <v>170</v>
      </c>
      <c r="H15" s="35"/>
      <c r="I15" s="36"/>
      <c r="J15" s="36"/>
      <c r="K15" s="36"/>
      <c r="L15" s="36"/>
      <c r="M15" s="36"/>
      <c r="N15" s="36"/>
      <c r="O15" s="36"/>
      <c r="P15" s="36"/>
    </row>
    <row r="16" spans="1:16" ht="79.95" customHeight="1" x14ac:dyDescent="0.3">
      <c r="A16" s="3"/>
      <c r="B16" s="3"/>
      <c r="C16" s="3"/>
      <c r="D16" s="3"/>
      <c r="E16" s="3"/>
      <c r="F16" s="3"/>
      <c r="G16" s="3"/>
      <c r="H16" s="3"/>
    </row>
    <row r="17" spans="1:8" ht="79.95" customHeight="1" x14ac:dyDescent="0.3">
      <c r="A17" s="3"/>
      <c r="B17" s="3"/>
      <c r="C17" s="3"/>
      <c r="D17" s="3"/>
      <c r="E17" s="3"/>
      <c r="F17" s="3"/>
      <c r="G17" s="3"/>
      <c r="H17" s="3"/>
    </row>
    <row r="18" spans="1:8" ht="79.95" customHeight="1" x14ac:dyDescent="0.3">
      <c r="A18" s="3"/>
      <c r="B18" s="3"/>
      <c r="C18" s="3"/>
      <c r="D18" s="3"/>
      <c r="E18" s="3"/>
      <c r="F18" s="3"/>
      <c r="G18" s="3"/>
      <c r="H18" s="3"/>
    </row>
    <row r="19" spans="1:8" ht="79.95" customHeight="1" x14ac:dyDescent="0.3">
      <c r="A19" s="3"/>
      <c r="B19" s="3"/>
      <c r="C19" s="3"/>
      <c r="D19" s="3"/>
      <c r="E19" s="3"/>
      <c r="F19" s="3"/>
      <c r="G19" s="3"/>
      <c r="H19" s="3"/>
    </row>
    <row r="20" spans="1:8" ht="79.95" customHeight="1" x14ac:dyDescent="0.3">
      <c r="A20" s="3"/>
      <c r="B20" s="3"/>
      <c r="C20" s="3"/>
      <c r="D20" s="3"/>
      <c r="E20" s="3"/>
      <c r="F20" s="3"/>
      <c r="G20" s="3"/>
      <c r="H20" s="3"/>
    </row>
    <row r="21" spans="1:8" ht="79.95" customHeight="1" x14ac:dyDescent="0.3">
      <c r="A21" s="3"/>
      <c r="B21" s="3"/>
      <c r="C21" s="3"/>
      <c r="D21" s="3"/>
      <c r="E21" s="3"/>
      <c r="F21" s="3"/>
      <c r="G21" s="3"/>
      <c r="H21" s="3"/>
    </row>
    <row r="22" spans="1:8" ht="79.95" customHeight="1" x14ac:dyDescent="0.3">
      <c r="A22" s="3"/>
      <c r="B22" s="3"/>
      <c r="C22" s="3"/>
      <c r="D22" s="3"/>
      <c r="E22" s="3"/>
      <c r="F22" s="3"/>
      <c r="G22" s="3"/>
      <c r="H22" s="3"/>
    </row>
    <row r="23" spans="1:8" ht="79.95" customHeight="1" x14ac:dyDescent="0.3">
      <c r="A23" s="3"/>
      <c r="B23" s="3"/>
      <c r="C23" s="3"/>
      <c r="D23" s="3"/>
      <c r="E23" s="3"/>
      <c r="F23" s="3"/>
      <c r="G23" s="3"/>
      <c r="H23" s="3"/>
    </row>
    <row r="24" spans="1:8" ht="79.95" customHeight="1" x14ac:dyDescent="0.3">
      <c r="A24" s="3"/>
      <c r="B24" s="3"/>
      <c r="C24" s="3"/>
      <c r="D24" s="3"/>
      <c r="E24" s="3"/>
      <c r="F24" s="3"/>
      <c r="G24" s="3"/>
      <c r="H24" s="3"/>
    </row>
    <row r="25" spans="1:8" ht="79.95" customHeight="1" x14ac:dyDescent="0.3">
      <c r="A25" s="3"/>
      <c r="B25" s="3"/>
      <c r="C25" s="3"/>
      <c r="D25" s="3"/>
      <c r="E25" s="3"/>
      <c r="F25" s="3"/>
      <c r="G25" s="3"/>
      <c r="H25" s="3"/>
    </row>
  </sheetData>
  <mergeCells count="2">
    <mergeCell ref="A2:H2"/>
    <mergeCell ref="A1:H1"/>
  </mergeCells>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5" zoomScale="85" zoomScaleNormal="85" workbookViewId="0">
      <selection activeCell="D5" sqref="D5"/>
    </sheetView>
  </sheetViews>
  <sheetFormatPr defaultRowHeight="14.4" x14ac:dyDescent="0.3"/>
  <cols>
    <col min="1" max="1" width="12" customWidth="1"/>
    <col min="2" max="2" width="22" customWidth="1"/>
    <col min="3" max="6" width="30" customWidth="1"/>
  </cols>
  <sheetData>
    <row r="1" spans="1:6" x14ac:dyDescent="0.3">
      <c r="A1" s="33" t="s">
        <v>46</v>
      </c>
      <c r="B1" s="32"/>
      <c r="C1" s="32"/>
      <c r="D1" s="32"/>
      <c r="E1" s="32"/>
      <c r="F1" s="32"/>
    </row>
    <row r="2" spans="1:6" x14ac:dyDescent="0.3">
      <c r="A2" s="31" t="s">
        <v>47</v>
      </c>
      <c r="B2" s="32"/>
      <c r="C2" s="32"/>
      <c r="D2" s="32"/>
      <c r="E2" s="32"/>
      <c r="F2" s="32"/>
    </row>
    <row r="3" spans="1:6" ht="40.049999999999997" customHeight="1" x14ac:dyDescent="0.3">
      <c r="A3" s="2" t="s">
        <v>48</v>
      </c>
      <c r="B3" s="2" t="s">
        <v>49</v>
      </c>
      <c r="C3" s="2" t="s">
        <v>50</v>
      </c>
      <c r="D3" s="2" t="s">
        <v>51</v>
      </c>
      <c r="E3" s="2" t="s">
        <v>52</v>
      </c>
      <c r="F3" s="2" t="s">
        <v>53</v>
      </c>
    </row>
    <row r="4" spans="1:6" ht="172.8" customHeight="1" x14ac:dyDescent="0.3">
      <c r="A4" s="11" t="s">
        <v>127</v>
      </c>
      <c r="B4" s="6" t="s">
        <v>70</v>
      </c>
      <c r="C4" s="6" t="s">
        <v>171</v>
      </c>
      <c r="D4" s="6" t="s">
        <v>172</v>
      </c>
      <c r="E4" s="6" t="s">
        <v>173</v>
      </c>
      <c r="F4" s="6" t="s">
        <v>174</v>
      </c>
    </row>
    <row r="5" spans="1:6" ht="138" x14ac:dyDescent="0.3">
      <c r="A5" s="38" t="s">
        <v>42</v>
      </c>
      <c r="B5" s="35" t="s">
        <v>61</v>
      </c>
      <c r="C5" s="35" t="s">
        <v>175</v>
      </c>
      <c r="D5" s="35" t="s">
        <v>176</v>
      </c>
      <c r="E5" s="35" t="s">
        <v>184</v>
      </c>
      <c r="F5" s="35" t="s">
        <v>177</v>
      </c>
    </row>
    <row r="6" spans="1:6" ht="174.6" customHeight="1" x14ac:dyDescent="0.3">
      <c r="A6" s="38" t="s">
        <v>133</v>
      </c>
      <c r="B6" s="35" t="s">
        <v>70</v>
      </c>
      <c r="C6" s="35" t="s">
        <v>178</v>
      </c>
      <c r="D6" s="35" t="s">
        <v>179</v>
      </c>
      <c r="E6" s="35" t="s">
        <v>185</v>
      </c>
      <c r="F6" s="35" t="s">
        <v>180</v>
      </c>
    </row>
    <row r="7" spans="1:6" ht="184.2" customHeight="1" x14ac:dyDescent="0.3">
      <c r="A7" s="38" t="s">
        <v>40</v>
      </c>
      <c r="B7" s="35" t="s">
        <v>70</v>
      </c>
      <c r="C7" s="35" t="s">
        <v>181</v>
      </c>
      <c r="D7" s="35" t="s">
        <v>182</v>
      </c>
      <c r="E7" s="35" t="s">
        <v>186</v>
      </c>
      <c r="F7" s="35" t="s">
        <v>183</v>
      </c>
    </row>
    <row r="8" spans="1:6" ht="60" customHeight="1" x14ac:dyDescent="0.3">
      <c r="A8" s="3"/>
      <c r="B8" s="3"/>
      <c r="C8" s="3"/>
      <c r="D8" s="3"/>
      <c r="E8" s="3"/>
      <c r="F8" s="3"/>
    </row>
    <row r="9" spans="1:6" ht="60" customHeight="1" x14ac:dyDescent="0.3">
      <c r="A9" s="3"/>
      <c r="B9" s="3"/>
      <c r="C9" s="3"/>
      <c r="D9" s="3"/>
      <c r="E9" s="3"/>
      <c r="F9" s="3"/>
    </row>
    <row r="10" spans="1:6" ht="60" customHeight="1" x14ac:dyDescent="0.3">
      <c r="A10" s="3"/>
      <c r="B10" s="3"/>
      <c r="C10" s="3"/>
      <c r="D10" s="3"/>
      <c r="E10" s="3"/>
      <c r="F10" s="3"/>
    </row>
    <row r="11" spans="1:6" ht="60" customHeight="1" x14ac:dyDescent="0.3">
      <c r="A11" s="3"/>
      <c r="B11" s="3"/>
      <c r="C11" s="3"/>
      <c r="D11" s="3"/>
      <c r="E11" s="3"/>
      <c r="F11" s="3"/>
    </row>
    <row r="12" spans="1:6" ht="60" customHeight="1" x14ac:dyDescent="0.3">
      <c r="A12" s="3"/>
      <c r="B12" s="3"/>
      <c r="C12" s="3"/>
      <c r="D12" s="3"/>
      <c r="E12" s="3"/>
      <c r="F12" s="3"/>
    </row>
    <row r="13" spans="1:6" ht="60" customHeight="1" x14ac:dyDescent="0.3">
      <c r="A13" s="3"/>
      <c r="B13" s="3"/>
      <c r="C13" s="3"/>
      <c r="D13" s="3"/>
      <c r="E13" s="3"/>
      <c r="F13" s="3"/>
    </row>
    <row r="14" spans="1:6" ht="60" customHeight="1" x14ac:dyDescent="0.3">
      <c r="A14" s="3"/>
      <c r="B14" s="3"/>
      <c r="C14" s="3"/>
      <c r="D14" s="3"/>
      <c r="E14" s="3"/>
      <c r="F14" s="3"/>
    </row>
    <row r="15" spans="1:6" ht="60" customHeight="1" x14ac:dyDescent="0.3">
      <c r="A15" s="3"/>
      <c r="B15" s="3"/>
      <c r="C15" s="3"/>
      <c r="D15" s="3"/>
      <c r="E15" s="3"/>
      <c r="F15" s="3"/>
    </row>
    <row r="16" spans="1:6" ht="60" customHeight="1" x14ac:dyDescent="0.3">
      <c r="A16" s="3"/>
      <c r="B16" s="3"/>
      <c r="C16" s="3"/>
      <c r="D16" s="3"/>
      <c r="E16" s="3"/>
      <c r="F16" s="3"/>
    </row>
    <row r="17" spans="1:6" ht="60" customHeight="1" x14ac:dyDescent="0.3">
      <c r="A17" s="3"/>
      <c r="B17" s="3"/>
      <c r="C17" s="3"/>
      <c r="D17" s="3"/>
      <c r="E17" s="3"/>
      <c r="F17" s="3"/>
    </row>
    <row r="18" spans="1:6" ht="60" customHeight="1" x14ac:dyDescent="0.3">
      <c r="A18" s="3"/>
      <c r="B18" s="3"/>
      <c r="C18" s="3"/>
      <c r="D18" s="3"/>
      <c r="E18" s="3"/>
      <c r="F18" s="3"/>
    </row>
    <row r="19" spans="1:6" ht="60" customHeight="1" x14ac:dyDescent="0.3">
      <c r="A19" s="3"/>
      <c r="B19" s="3"/>
      <c r="C19" s="3"/>
      <c r="D19" s="3"/>
      <c r="E19" s="3"/>
      <c r="F19" s="3"/>
    </row>
    <row r="20" spans="1:6" ht="60" customHeight="1" x14ac:dyDescent="0.3">
      <c r="A20" s="3"/>
      <c r="B20" s="3"/>
      <c r="C20" s="3"/>
      <c r="D20" s="3"/>
      <c r="E20" s="3"/>
      <c r="F20" s="3"/>
    </row>
    <row r="21" spans="1:6" ht="60" customHeight="1" x14ac:dyDescent="0.3">
      <c r="A21" s="3"/>
      <c r="B21" s="3"/>
      <c r="C21" s="3"/>
      <c r="D21" s="3"/>
      <c r="E21" s="3"/>
      <c r="F21" s="3"/>
    </row>
    <row r="22" spans="1:6" ht="60" customHeight="1" x14ac:dyDescent="0.3">
      <c r="A22" s="3"/>
      <c r="B22" s="3"/>
      <c r="C22" s="3"/>
      <c r="D22" s="3"/>
      <c r="E22" s="3"/>
      <c r="F22" s="3"/>
    </row>
    <row r="23" spans="1:6" ht="60" customHeight="1" x14ac:dyDescent="0.3">
      <c r="A23" s="3"/>
      <c r="B23" s="3"/>
      <c r="C23" s="3"/>
      <c r="D23" s="3"/>
      <c r="E23" s="3"/>
      <c r="F23" s="3"/>
    </row>
    <row r="24" spans="1:6" ht="60" customHeight="1" x14ac:dyDescent="0.3">
      <c r="A24" s="3"/>
      <c r="B24" s="3"/>
      <c r="C24" s="3"/>
      <c r="D24" s="3"/>
      <c r="E24" s="3"/>
      <c r="F24" s="3"/>
    </row>
    <row r="30" spans="1:6" ht="18" x14ac:dyDescent="0.35">
      <c r="A30" s="1" t="s">
        <v>55</v>
      </c>
    </row>
    <row r="31" spans="1:6" x14ac:dyDescent="0.3">
      <c r="A31" s="4" t="s">
        <v>56</v>
      </c>
      <c r="B31" s="4" t="s">
        <v>57</v>
      </c>
      <c r="C31" s="4" t="s">
        <v>58</v>
      </c>
    </row>
    <row r="32" spans="1:6" ht="28.8" x14ac:dyDescent="0.3">
      <c r="A32" s="3" t="s">
        <v>54</v>
      </c>
      <c r="B32" s="3" t="s">
        <v>59</v>
      </c>
      <c r="C32" s="3" t="s">
        <v>60</v>
      </c>
    </row>
    <row r="33" spans="1:3" ht="28.8" x14ac:dyDescent="0.3">
      <c r="A33" s="3" t="s">
        <v>61</v>
      </c>
      <c r="B33" s="3" t="s">
        <v>62</v>
      </c>
      <c r="C33" s="3" t="s">
        <v>63</v>
      </c>
    </row>
    <row r="34" spans="1:3" ht="28.8" x14ac:dyDescent="0.3">
      <c r="A34" s="3" t="s">
        <v>64</v>
      </c>
      <c r="B34" s="3" t="s">
        <v>65</v>
      </c>
      <c r="C34" s="3" t="s">
        <v>66</v>
      </c>
    </row>
    <row r="35" spans="1:3" ht="28.8" x14ac:dyDescent="0.3">
      <c r="A35" s="3" t="s">
        <v>67</v>
      </c>
      <c r="B35" s="3" t="s">
        <v>68</v>
      </c>
      <c r="C35" s="3" t="s">
        <v>69</v>
      </c>
    </row>
    <row r="36" spans="1:3" ht="43.2" x14ac:dyDescent="0.3">
      <c r="A36" s="3" t="s">
        <v>70</v>
      </c>
      <c r="B36" s="3" t="s">
        <v>71</v>
      </c>
      <c r="C36" s="3"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topLeftCell="A21" workbookViewId="0">
      <selection activeCell="F38" sqref="F38"/>
    </sheetView>
  </sheetViews>
  <sheetFormatPr defaultColWidth="8.77734375" defaultRowHeight="13.8" x14ac:dyDescent="0.25"/>
  <cols>
    <col min="1" max="1" width="8" style="9" customWidth="1"/>
    <col min="2" max="2" width="60" style="9" customWidth="1"/>
    <col min="3" max="3" width="26.44140625" style="9" customWidth="1"/>
    <col min="4" max="4" width="30" style="9" customWidth="1"/>
    <col min="5" max="16384" width="8.77734375" style="9"/>
  </cols>
  <sheetData>
    <row r="1" spans="1:4" x14ac:dyDescent="0.25">
      <c r="A1" s="28" t="s">
        <v>73</v>
      </c>
      <c r="B1" s="29"/>
      <c r="C1" s="29"/>
      <c r="D1" s="29"/>
    </row>
    <row r="2" spans="1:4" x14ac:dyDescent="0.25">
      <c r="A2" s="34" t="s">
        <v>74</v>
      </c>
      <c r="B2" s="29"/>
      <c r="C2" s="29"/>
      <c r="D2" s="29"/>
    </row>
    <row r="4" spans="1:4" ht="17.399999999999999" x14ac:dyDescent="0.3">
      <c r="A4" s="13" t="s">
        <v>75</v>
      </c>
    </row>
    <row r="5" spans="1:4" x14ac:dyDescent="0.25">
      <c r="A5" s="10" t="s">
        <v>76</v>
      </c>
      <c r="B5" s="20" t="s">
        <v>77</v>
      </c>
      <c r="C5" s="10" t="s">
        <v>78</v>
      </c>
      <c r="D5" s="20" t="s">
        <v>79</v>
      </c>
    </row>
    <row r="6" spans="1:4" ht="52.8" x14ac:dyDescent="0.25">
      <c r="A6" s="21" t="s">
        <v>80</v>
      </c>
      <c r="B6" s="22" t="s">
        <v>81</v>
      </c>
      <c r="C6" s="21" t="s">
        <v>187</v>
      </c>
      <c r="D6" s="22" t="s">
        <v>188</v>
      </c>
    </row>
    <row r="7" spans="1:4" ht="52.8" x14ac:dyDescent="0.25">
      <c r="A7" s="21" t="s">
        <v>82</v>
      </c>
      <c r="B7" s="22" t="s">
        <v>83</v>
      </c>
      <c r="C7" s="21" t="s">
        <v>187</v>
      </c>
      <c r="D7" s="22" t="s">
        <v>189</v>
      </c>
    </row>
    <row r="8" spans="1:4" ht="26.4" x14ac:dyDescent="0.25">
      <c r="A8" s="21" t="s">
        <v>84</v>
      </c>
      <c r="B8" s="22" t="s">
        <v>85</v>
      </c>
      <c r="C8" s="21" t="s">
        <v>187</v>
      </c>
      <c r="D8" s="22" t="s">
        <v>190</v>
      </c>
    </row>
    <row r="9" spans="1:4" ht="39.6" x14ac:dyDescent="0.25">
      <c r="A9" s="21" t="s">
        <v>86</v>
      </c>
      <c r="B9" s="22" t="s">
        <v>87</v>
      </c>
      <c r="C9" s="21" t="s">
        <v>187</v>
      </c>
      <c r="D9" s="22" t="s">
        <v>191</v>
      </c>
    </row>
    <row r="10" spans="1:4" ht="39.6" x14ac:dyDescent="0.25">
      <c r="A10" s="21" t="s">
        <v>88</v>
      </c>
      <c r="B10" s="22" t="s">
        <v>89</v>
      </c>
      <c r="C10" s="21" t="s">
        <v>187</v>
      </c>
      <c r="D10" s="22" t="s">
        <v>192</v>
      </c>
    </row>
    <row r="12" spans="1:4" ht="17.399999999999999" x14ac:dyDescent="0.3">
      <c r="A12" s="13" t="s">
        <v>90</v>
      </c>
    </row>
    <row r="13" spans="1:4" x14ac:dyDescent="0.25">
      <c r="A13" s="10" t="s">
        <v>76</v>
      </c>
      <c r="B13" s="20" t="s">
        <v>77</v>
      </c>
      <c r="C13" s="10" t="s">
        <v>78</v>
      </c>
      <c r="D13" s="20" t="s">
        <v>91</v>
      </c>
    </row>
    <row r="14" spans="1:4" x14ac:dyDescent="0.25">
      <c r="A14" s="21" t="s">
        <v>80</v>
      </c>
      <c r="B14" s="22" t="s">
        <v>92</v>
      </c>
      <c r="C14" s="21" t="s">
        <v>187</v>
      </c>
      <c r="D14" s="22" t="s">
        <v>193</v>
      </c>
    </row>
    <row r="15" spans="1:4" ht="39.6" x14ac:dyDescent="0.25">
      <c r="A15" s="21" t="s">
        <v>82</v>
      </c>
      <c r="B15" s="22" t="s">
        <v>93</v>
      </c>
      <c r="C15" s="21" t="s">
        <v>187</v>
      </c>
      <c r="D15" s="22" t="s">
        <v>194</v>
      </c>
    </row>
    <row r="16" spans="1:4" x14ac:dyDescent="0.25">
      <c r="A16" s="21" t="s">
        <v>84</v>
      </c>
      <c r="B16" s="22" t="s">
        <v>94</v>
      </c>
      <c r="C16" s="21" t="s">
        <v>187</v>
      </c>
      <c r="D16" s="22" t="s">
        <v>195</v>
      </c>
    </row>
    <row r="17" spans="1:5" ht="39.6" x14ac:dyDescent="0.25">
      <c r="A17" s="21" t="s">
        <v>86</v>
      </c>
      <c r="B17" s="22" t="s">
        <v>95</v>
      </c>
      <c r="C17" s="21" t="s">
        <v>187</v>
      </c>
      <c r="D17" s="22" t="s">
        <v>196</v>
      </c>
    </row>
    <row r="18" spans="1:5" ht="39.6" x14ac:dyDescent="0.25">
      <c r="A18" s="21" t="s">
        <v>88</v>
      </c>
      <c r="B18" s="22" t="s">
        <v>96</v>
      </c>
      <c r="C18" s="21" t="s">
        <v>187</v>
      </c>
      <c r="D18" s="22" t="s">
        <v>197</v>
      </c>
    </row>
    <row r="20" spans="1:5" ht="15.6" x14ac:dyDescent="0.3">
      <c r="A20" s="23" t="s">
        <v>97</v>
      </c>
    </row>
    <row r="21" spans="1:5" x14ac:dyDescent="0.25">
      <c r="A21" s="24" t="s">
        <v>98</v>
      </c>
    </row>
    <row r="22" spans="1:5" x14ac:dyDescent="0.25">
      <c r="A22" s="24" t="s">
        <v>99</v>
      </c>
    </row>
    <row r="25" spans="1:5" ht="17.399999999999999" x14ac:dyDescent="0.3">
      <c r="A25" s="13" t="s">
        <v>100</v>
      </c>
    </row>
    <row r="26" spans="1:5" x14ac:dyDescent="0.25">
      <c r="A26" s="25" t="s">
        <v>101</v>
      </c>
    </row>
    <row r="27" spans="1:5" ht="41.4" x14ac:dyDescent="0.25">
      <c r="A27" s="26" t="s">
        <v>32</v>
      </c>
      <c r="B27" s="27" t="s">
        <v>102</v>
      </c>
      <c r="C27" s="27" t="s">
        <v>103</v>
      </c>
      <c r="D27" s="27" t="s">
        <v>104</v>
      </c>
    </row>
    <row r="28" spans="1:5" ht="82.8" x14ac:dyDescent="0.25">
      <c r="A28" s="19" t="s">
        <v>40</v>
      </c>
      <c r="B28" s="12" t="s">
        <v>198</v>
      </c>
      <c r="C28" s="12" t="s">
        <v>210</v>
      </c>
      <c r="D28" s="12" t="s">
        <v>211</v>
      </c>
    </row>
    <row r="29" spans="1:5" ht="110.4" x14ac:dyDescent="0.25">
      <c r="A29" s="19" t="s">
        <v>42</v>
      </c>
      <c r="B29" s="12" t="s">
        <v>199</v>
      </c>
      <c r="C29" s="12" t="s">
        <v>212</v>
      </c>
      <c r="D29" s="12" t="s">
        <v>223</v>
      </c>
    </row>
    <row r="30" spans="1:5" ht="110.4" x14ac:dyDescent="0.25">
      <c r="A30" s="19" t="s">
        <v>44</v>
      </c>
      <c r="B30" s="12" t="s">
        <v>200</v>
      </c>
      <c r="C30" s="12" t="s">
        <v>213</v>
      </c>
      <c r="D30" s="12" t="s">
        <v>224</v>
      </c>
    </row>
    <row r="31" spans="1:5" ht="82.8" x14ac:dyDescent="0.25">
      <c r="A31" s="19" t="s">
        <v>105</v>
      </c>
      <c r="B31" s="39" t="s">
        <v>201</v>
      </c>
      <c r="C31" s="39" t="s">
        <v>214</v>
      </c>
      <c r="D31" s="39" t="s">
        <v>225</v>
      </c>
      <c r="E31" s="37"/>
    </row>
    <row r="32" spans="1:5" ht="96.6" x14ac:dyDescent="0.25">
      <c r="A32" s="19" t="s">
        <v>127</v>
      </c>
      <c r="B32" s="39" t="s">
        <v>202</v>
      </c>
      <c r="C32" s="39" t="s">
        <v>215</v>
      </c>
      <c r="D32" s="39" t="s">
        <v>226</v>
      </c>
      <c r="E32" s="37"/>
    </row>
    <row r="33" spans="1:5" ht="82.8" x14ac:dyDescent="0.25">
      <c r="A33" s="19" t="s">
        <v>128</v>
      </c>
      <c r="B33" s="39" t="s">
        <v>203</v>
      </c>
      <c r="C33" s="39" t="s">
        <v>216</v>
      </c>
      <c r="D33" s="39" t="s">
        <v>227</v>
      </c>
      <c r="E33" s="37"/>
    </row>
    <row r="34" spans="1:5" ht="96.6" x14ac:dyDescent="0.25">
      <c r="A34" s="19" t="s">
        <v>129</v>
      </c>
      <c r="B34" s="39" t="s">
        <v>204</v>
      </c>
      <c r="C34" s="39" t="s">
        <v>217</v>
      </c>
      <c r="D34" s="39" t="s">
        <v>228</v>
      </c>
      <c r="E34" s="37"/>
    </row>
    <row r="35" spans="1:5" ht="96.6" x14ac:dyDescent="0.25">
      <c r="A35" s="19" t="s">
        <v>130</v>
      </c>
      <c r="B35" s="39" t="s">
        <v>205</v>
      </c>
      <c r="C35" s="39" t="s">
        <v>218</v>
      </c>
      <c r="D35" s="39" t="s">
        <v>229</v>
      </c>
      <c r="E35" s="37"/>
    </row>
    <row r="36" spans="1:5" ht="82.8" x14ac:dyDescent="0.25">
      <c r="A36" s="19" t="s">
        <v>131</v>
      </c>
      <c r="B36" s="39" t="s">
        <v>206</v>
      </c>
      <c r="C36" s="39" t="s">
        <v>219</v>
      </c>
      <c r="D36" s="39" t="s">
        <v>230</v>
      </c>
      <c r="E36" s="37"/>
    </row>
    <row r="37" spans="1:5" ht="69" x14ac:dyDescent="0.25">
      <c r="A37" s="19" t="s">
        <v>132</v>
      </c>
      <c r="B37" s="39" t="s">
        <v>207</v>
      </c>
      <c r="C37" s="39" t="s">
        <v>220</v>
      </c>
      <c r="D37" s="39" t="s">
        <v>231</v>
      </c>
      <c r="E37" s="37"/>
    </row>
    <row r="38" spans="1:5" ht="110.4" x14ac:dyDescent="0.25">
      <c r="A38" s="19" t="s">
        <v>133</v>
      </c>
      <c r="B38" s="39" t="s">
        <v>208</v>
      </c>
      <c r="C38" s="39" t="s">
        <v>221</v>
      </c>
      <c r="D38" s="39" t="s">
        <v>232</v>
      </c>
      <c r="E38" s="37"/>
    </row>
    <row r="39" spans="1:5" ht="96.6" x14ac:dyDescent="0.25">
      <c r="A39" s="19" t="s">
        <v>134</v>
      </c>
      <c r="B39" s="39" t="s">
        <v>209</v>
      </c>
      <c r="C39" s="39" t="s">
        <v>222</v>
      </c>
      <c r="D39" s="39" t="s">
        <v>233</v>
      </c>
      <c r="E39" s="37"/>
    </row>
  </sheetData>
  <mergeCells count="2">
    <mergeCell ref="A1:D1"/>
    <mergeCell ref="A2:D2"/>
  </mergeCells>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Nyat H</cp:lastModifiedBy>
  <dcterms:created xsi:type="dcterms:W3CDTF">2026-05-07T22:28:42Z</dcterms:created>
  <dcterms:modified xsi:type="dcterms:W3CDTF">2026-07-21T08:10:41Z</dcterms:modified>
</cp:coreProperties>
</file>